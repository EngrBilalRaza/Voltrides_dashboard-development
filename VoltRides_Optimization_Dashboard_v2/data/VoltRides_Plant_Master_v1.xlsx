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https://voltrides-my.sharepoint.com/personal/nauman_voltrides_com_pk/Documents/Desktop/Plant/"/>
    </mc:Choice>
  </mc:AlternateContent>
  <xr:revisionPtr revIDLastSave="0" documentId="8_{38CD1727-C400-44C3-A263-791687E9A88C}" xr6:coauthVersionLast="47" xr6:coauthVersionMax="47" xr10:uidLastSave="{00000000-0000-0000-0000-000000000000}"/>
  <bookViews>
    <workbookView xWindow="48480" yWindow="-1470" windowWidth="15600" windowHeight="11040" tabRatio="832" firstSheet="9" activeTab="9" xr2:uid="{00000000-000D-0000-FFFF-FFFF00000000}"/>
  </bookViews>
  <sheets>
    <sheet name="1. Cover &amp; Summary" sheetId="1" r:id="rId1"/>
    <sheet name="2. Plant Layout" sheetId="2" r:id="rId2"/>
    <sheet name="3. Space Schedule" sheetId="3" r:id="rId3"/>
    <sheet name="4. Sub-Assemblies" sheetId="4" r:id="rId4"/>
    <sheet name="5. Main Assembly Line" sheetId="5" r:id="rId5"/>
    <sheet name="6. Headcount" sheetId="6" r:id="rId6"/>
    <sheet name="7. Labour Cost" sheetId="7" r:id="rId7"/>
    <sheet name="8. CapEx Quoted" sheetId="8" r:id="rId8"/>
    <sheet name="9. CapEx Additional" sheetId="9" r:id="rId9"/>
    <sheet name="10. CapEx Summary" sheetId="10" r:id="rId10"/>
    <sheet name="11. Assumptions &amp; Notes" sheetId="11" r:id="rId11"/>
  </sheets>
  <definedNames>
    <definedName name="_xlnm.Print_Area" localSheetId="1">'2. Plant Layout'!$A$1:$AS$50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9" l="1"/>
  <c r="D7" i="10" s="1"/>
  <c r="G12" i="8"/>
  <c r="G11" i="8"/>
  <c r="G10" i="8"/>
  <c r="G13" i="8" s="1"/>
  <c r="G9" i="8"/>
  <c r="G8" i="8"/>
  <c r="G7" i="8"/>
  <c r="F58" i="7"/>
  <c r="G58" i="7" s="1"/>
  <c r="F57" i="7"/>
  <c r="G57" i="7" s="1"/>
  <c r="F56" i="7"/>
  <c r="G56" i="7" s="1"/>
  <c r="F55" i="7"/>
  <c r="G55" i="7" s="1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G41" i="7"/>
  <c r="F41" i="7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C47" i="6"/>
  <c r="E38" i="6"/>
  <c r="D46" i="6" s="1"/>
  <c r="F17" i="4"/>
  <c r="E15" i="3"/>
  <c r="F15" i="3" s="1"/>
  <c r="F14" i="3"/>
  <c r="F13" i="3"/>
  <c r="F12" i="3"/>
  <c r="F11" i="3"/>
  <c r="F10" i="3"/>
  <c r="F9" i="3"/>
  <c r="F8" i="3"/>
  <c r="F7" i="3"/>
  <c r="F6" i="3"/>
  <c r="I37" i="2"/>
  <c r="I38" i="2" s="1"/>
  <c r="C12" i="1"/>
  <c r="C16" i="1" l="1"/>
  <c r="E16" i="3"/>
  <c r="F16" i="3" s="1"/>
  <c r="G59" i="7"/>
  <c r="G14" i="8"/>
  <c r="G15" i="8" s="1"/>
  <c r="D42" i="6"/>
  <c r="D44" i="6"/>
  <c r="D45" i="6"/>
  <c r="D43" i="6"/>
  <c r="D6" i="10" l="1"/>
  <c r="C15" i="1"/>
  <c r="C17" i="1" s="1"/>
  <c r="F18" i="1" s="1"/>
  <c r="D47" i="6"/>
  <c r="G60" i="7"/>
  <c r="F16" i="1"/>
  <c r="G61" i="7" l="1"/>
  <c r="F15" i="1"/>
  <c r="F17" i="1" s="1"/>
  <c r="D8" i="10"/>
  <c r="D14" i="10" l="1"/>
  <c r="E8" i="10" s="1"/>
  <c r="E12" i="10" l="1"/>
  <c r="E11" i="10"/>
  <c r="E10" i="10"/>
  <c r="E9" i="10"/>
  <c r="E13" i="10"/>
  <c r="E7" i="10"/>
  <c r="E6" i="10"/>
</calcChain>
</file>

<file path=xl/sharedStrings.xml><?xml version="1.0" encoding="utf-8"?>
<sst xmlns="http://schemas.openxmlformats.org/spreadsheetml/2006/main" count="688" uniqueCount="498">
  <si>
    <t>VoltRides Pvt Ltd</t>
  </si>
  <si>
    <t>E-Bike Manufacturing Plant — Optimized Layout &amp; Operations Plan</t>
  </si>
  <si>
    <t>Target: 5,000 bikes/yr · Single shift · 250 days · 480 min/day · 24 min takt</t>
  </si>
  <si>
    <t>Version 1.0 · 19 May 2026 · Master planning workbook</t>
  </si>
  <si>
    <t>KEY METRICS</t>
  </si>
  <si>
    <t>Building footprint</t>
  </si>
  <si>
    <t>150 ft × 80 ft</t>
  </si>
  <si>
    <t>Total headcount</t>
  </si>
  <si>
    <t>Total floor area</t>
  </si>
  <si>
    <t>Direct labour</t>
  </si>
  <si>
    <t>Functional area</t>
  </si>
  <si>
    <t>Indirect labour</t>
  </si>
  <si>
    <t>Aisles &amp; clearances</t>
  </si>
  <si>
    <t>Bikes / day (takt 24 min)</t>
  </si>
  <si>
    <t>Functional utilisation</t>
  </si>
  <si>
    <t>Annual production target</t>
  </si>
  <si>
    <t>FINANCIAL SUMMARY  (PKR)</t>
  </si>
  <si>
    <t>CapEx — Quoted (AIT)</t>
  </si>
  <si>
    <t>Annual labour cost</t>
  </si>
  <si>
    <t>CapEx — Additional est.</t>
  </si>
  <si>
    <t>Monthly labour cost</t>
  </si>
  <si>
    <t>Total Plant Equipment CapEx</t>
  </si>
  <si>
    <t>Annual labour / bike</t>
  </si>
  <si>
    <t>Civil / electrical / land</t>
  </si>
  <si>
    <t>TBD — see note</t>
  </si>
  <si>
    <t>Equipment CapEx / bike</t>
  </si>
  <si>
    <t>CONTENTS</t>
  </si>
  <si>
    <t>1. Cover &amp; Summary</t>
  </si>
  <si>
    <t>This sheet — top-level numbers and navigation</t>
  </si>
  <si>
    <t>2. Plant Layout</t>
  </si>
  <si>
    <t>Visual block diagram, to scale (1 cell = 4 ft)</t>
  </si>
  <si>
    <t>3. Space Schedule</t>
  </si>
  <si>
    <t>Zone-by-zone footprint with %</t>
  </si>
  <si>
    <t>4. Sub-Assemblies</t>
  </si>
  <si>
    <t>SA-01 to SA-11 — stations, skills, feeds</t>
  </si>
  <si>
    <t>5. Main Assembly Line</t>
  </si>
  <si>
    <t>MA-01 to MA-06 — operations and takt</t>
  </si>
  <si>
    <t>6. Headcount</t>
  </si>
  <si>
    <t>Full 50-person breakdown by section</t>
  </si>
  <si>
    <t>7. Labour Cost</t>
  </si>
  <si>
    <t>Salary × headcount = monthly &amp; annual cost</t>
  </si>
  <si>
    <t>8. CapEx Quoted</t>
  </si>
  <si>
    <t>From AIT quote F18-1109B-176 (PKR 11.28 M)</t>
  </si>
  <si>
    <t>9. CapEx Additional</t>
  </si>
  <si>
    <t>Items NOT in quote — estimated</t>
  </si>
  <si>
    <t>10. CapEx Summary</t>
  </si>
  <si>
    <t>Roll-up of all capital costs</t>
  </si>
  <si>
    <t>11. Assumptions &amp; Notes</t>
  </si>
  <si>
    <t>Key assumptions, open items, things to verify</t>
  </si>
  <si>
    <t>CELL COLOUR KEY</t>
  </si>
  <si>
    <t>Yellow background</t>
  </si>
  <si>
    <t>User-editable input (e.g. salary rates). Replace with your actuals.</t>
  </si>
  <si>
    <t>Light blue</t>
  </si>
  <si>
    <t>Subtotal / section summary row</t>
  </si>
  <si>
    <t>Indigo (white text)</t>
  </si>
  <si>
    <t>Grand total / header row</t>
  </si>
  <si>
    <t>VoltRides Plant Layout — 150 ft × 80 ft  (12,000 sq ft)</t>
  </si>
  <si>
    <t>Scale: 1 cell ≈ 4 ft   ·   Target: 5,000 bikes/yr   ·   Material flow:  Incoming → Weld → Frame Tag → Paint → Sub-Assy → Main Line → Test Bench → Finished Goods</t>
  </si>
  <si>
    <t>100ft</t>
  </si>
  <si>
    <t>OFFICES
4 × 12×12 ft
576 sq ft</t>
  </si>
  <si>
    <t>WELD SHOP
20×10 ft · 200 sq ft</t>
  </si>
  <si>
    <t>INCOMING
STORE
50×20 ft
1,000 sq ft</t>
  </si>
  <si>
    <t>SA-01
Frame</t>
  </si>
  <si>
    <t>SA-02
Wheel</t>
  </si>
  <si>
    <t>SA-03
F.Fork</t>
  </si>
  <si>
    <t>SA-04
F.Elec</t>
  </si>
  <si>
    <t>SA-05
Hndlbr</t>
  </si>
  <si>
    <t>SA-06
Cover</t>
  </si>
  <si>
    <t>FRAME TAG
10×10 ft
100 sq ft</t>
  </si>
  <si>
    <t>MAIN ASSEMBLY LINE →  MA-01 · MA-02 · MA-03 · MA-04 · MA-05 · MA-06     (40 × 5 ft · 200 sq ft)</t>
  </si>
  <si>
    <t>TEST BENCH
15×15 ft
225 sq ft
(Standalone QC)</t>
  </si>
  <si>
    <t>50 ft</t>
  </si>
  <si>
    <t>PAINT SHOP
25×25 ft
625 sq ft</t>
  </si>
  <si>
    <t>SA-07
DiscBr</t>
  </si>
  <si>
    <t>SA-08
WireH</t>
  </si>
  <si>
    <t>SA-09
SideCv</t>
  </si>
  <si>
    <t>SA-10
BattBox ★</t>
  </si>
  <si>
    <t>SA-11
Tank</t>
  </si>
  <si>
    <t>battery assem room</t>
  </si>
  <si>
    <t>FINISHED GOODS STORAGE
Pack · stage · dispatch
50×25 ft · 1,250 sq ft</t>
  </si>
  <si>
    <t>← FORKLIFT AISLE →</t>
  </si>
  <si>
    <t>LEGEND &amp; FOOTPRINTS</t>
  </si>
  <si>
    <t>Offices (4 × 12×12)</t>
  </si>
  <si>
    <t>sq ft</t>
  </si>
  <si>
    <t>Weld Shop (20×10)</t>
  </si>
  <si>
    <t>Frame Tagging (10×10)</t>
  </si>
  <si>
    <t>Paint Shop (25×25)</t>
  </si>
  <si>
    <t>Sub-Assemblies (11 × 8×8)</t>
  </si>
  <si>
    <t>Main Line (40×5)</t>
  </si>
  <si>
    <t>Test Bench (15×15)</t>
  </si>
  <si>
    <t>Finished Goods (50×25)</t>
  </si>
  <si>
    <t>Incoming Goods (50×20)</t>
  </si>
  <si>
    <t xml:space="preserve">  Functional total</t>
  </si>
  <si>
    <t xml:space="preserve">  Aisles, clearances, MH paths  (= building − functional)</t>
  </si>
  <si>
    <t xml:space="preserve">  BUILDING TOTAL  (150 × 80)</t>
  </si>
  <si>
    <t>★ SA-10 (Battery Box) is a safety-critical / bottleneck station — always staffed by ≥ 2 skilled workers, never under-staff.</t>
  </si>
  <si>
    <t>Space Schedule — Zone Footprints</t>
  </si>
  <si>
    <t>All zones inside the 150 ft × 80 ft (12,000 sq ft) building</t>
  </si>
  <si>
    <t>Zone</t>
  </si>
  <si>
    <t>Length (ft)</t>
  </si>
  <si>
    <t>Width (ft)</t>
  </si>
  <si>
    <t>Area (sq ft)</t>
  </si>
  <si>
    <t>% of building</t>
  </si>
  <si>
    <t>Notes</t>
  </si>
  <si>
    <t>4 offices in 2×2 block, top-left, away from fumes &amp; noise</t>
  </si>
  <si>
    <t>Weld Shop</t>
  </si>
  <si>
    <t>Pre-processing — MIG/TIG, frame jigs</t>
  </si>
  <si>
    <t>Frame Tagging</t>
  </si>
  <si>
    <t>VIN / serial stamping + records</t>
  </si>
  <si>
    <t>Paint Shop</t>
  </si>
  <si>
    <t>Booth + flash-off; ventilated zone</t>
  </si>
  <si>
    <t>—</t>
  </si>
  <si>
    <t>6 top of main line + 5 bottom; 8×8 ft each; 4 ft clearance</t>
  </si>
  <si>
    <t>Main Assembly Line</t>
  </si>
  <si>
    <t>MA-01 → MA-06; 40 ft long × 5 ft wide; takt 24 min</t>
  </si>
  <si>
    <t>Test Bench</t>
  </si>
  <si>
    <t>Standalone QC zone beyond MA-06</t>
  </si>
  <si>
    <t>Finished Goods</t>
  </si>
  <si>
    <t>Pack · stage · dispatch</t>
  </si>
  <si>
    <t>Incoming Goods</t>
  </si>
  <si>
    <t>Receiving from vendors; right wall</t>
  </si>
  <si>
    <t>FUNCTIONAL TOTAL</t>
  </si>
  <si>
    <t>Aisles, clearances, MH paths</t>
  </si>
  <si>
    <t>Forklift lanes, fire egress, station-to-station walkways</t>
  </si>
  <si>
    <t>BUILDING TOTAL</t>
  </si>
  <si>
    <t>Sub-Assembly Stations — SA-01 to SA-11</t>
  </si>
  <si>
    <t>Each station occupies 8 × 8 ft (64 sq ft). Total sub-assembly footprint: 704 sq ft.</t>
  </si>
  <si>
    <t>Station</t>
  </si>
  <si>
    <t>Description</t>
  </si>
  <si>
    <t>Feeds Into</t>
  </si>
  <si>
    <t>Skill Level</t>
  </si>
  <si>
    <t>Headcount</t>
  </si>
  <si>
    <t>SA-01</t>
  </si>
  <si>
    <t>Frame</t>
  </si>
  <si>
    <t>MA-01</t>
  </si>
  <si>
    <t>Semi-skilled</t>
  </si>
  <si>
    <t>Primary frame build</t>
  </si>
  <si>
    <t>SA-02</t>
  </si>
  <si>
    <t>Wheel</t>
  </si>
  <si>
    <t>Wheel assembly + spokes</t>
  </si>
  <si>
    <t>SA-03</t>
  </si>
  <si>
    <t>Front Fork</t>
  </si>
  <si>
    <t>MA-02</t>
  </si>
  <si>
    <t>SA-04</t>
  </si>
  <si>
    <t>Front Electrical</t>
  </si>
  <si>
    <t>MA-03</t>
  </si>
  <si>
    <t>Skilled</t>
  </si>
  <si>
    <t>Wiring complexity — skilled</t>
  </si>
  <si>
    <t>SA-05</t>
  </si>
  <si>
    <t>Handlebar</t>
  </si>
  <si>
    <t>Multi-skill with SA-06</t>
  </si>
  <si>
    <t>SA-06</t>
  </si>
  <si>
    <t>Cover</t>
  </si>
  <si>
    <t>MA-04</t>
  </si>
  <si>
    <t>Multi-skill with SA-05</t>
  </si>
  <si>
    <t>SA-07</t>
  </si>
  <si>
    <t>Disc Brake</t>
  </si>
  <si>
    <t>Multi-skill with SA-11</t>
  </si>
  <si>
    <t>SA-08</t>
  </si>
  <si>
    <t>Wire Harness</t>
  </si>
  <si>
    <t>SA-09</t>
  </si>
  <si>
    <t>Side Cover</t>
  </si>
  <si>
    <t>MA-05</t>
  </si>
  <si>
    <t>SA-10</t>
  </si>
  <si>
    <t>Battery Box ★</t>
  </si>
  <si>
    <t>★ Safety-critical — always ≥ 2 workers, never under-staff</t>
  </si>
  <si>
    <t>SA-11</t>
  </si>
  <si>
    <t>Tank</t>
  </si>
  <si>
    <t>MA-06</t>
  </si>
  <si>
    <t>Multi-skill with SA-07/SA-08</t>
  </si>
  <si>
    <t>TOTAL</t>
  </si>
  <si>
    <t>8 Semi-skilled + 3 Skilled  (SA-04, SA-10 × 2)</t>
  </si>
  <si>
    <t>Main Assembly Line — MA-01 to MA-06</t>
  </si>
  <si>
    <t>Line: 40 ft × 5 ft (200 sq ft) · 6 stations · Takt 24 min/bike · 4 workers cover 6 stations via line balancing</t>
  </si>
  <si>
    <t>Operations</t>
  </si>
  <si>
    <t>Receives From SA</t>
  </si>
  <si>
    <t>Worker Tag</t>
  </si>
  <si>
    <t>Frame placement + wheels</t>
  </si>
  <si>
    <t>SA-01, SA-02</t>
  </si>
  <si>
    <t>Worker A</t>
  </si>
  <si>
    <t>Walking worker shared with MA-02</t>
  </si>
  <si>
    <t>Front fork mounting</t>
  </si>
  <si>
    <t>Same operator as MA-01</t>
  </si>
  <si>
    <t>Handlebar + front electrical</t>
  </si>
  <si>
    <t>SA-04, SA-05</t>
  </si>
  <si>
    <t>Worker B</t>
  </si>
  <si>
    <t>Wiring routed in</t>
  </si>
  <si>
    <t>Cover · disc brake · wire harness ★</t>
  </si>
  <si>
    <t>SA-06, SA-07, SA-08</t>
  </si>
  <si>
    <t>Worker C</t>
  </si>
  <si>
    <t>★ Skilled — multiple sub-assys converge</t>
  </si>
  <si>
    <t>Side cover + battery box</t>
  </si>
  <si>
    <t>SA-09, SA-10</t>
  </si>
  <si>
    <t>Same operator as MA-03</t>
  </si>
  <si>
    <t>Tank + final OQC ★</t>
  </si>
  <si>
    <t>Senior</t>
  </si>
  <si>
    <t>Worker D</t>
  </si>
  <si>
    <t>★ Senior — final quality sign-off</t>
  </si>
  <si>
    <t>MAIN LINE LABOUR SUMMARY</t>
  </si>
  <si>
    <t>Stations Covered</t>
  </si>
  <si>
    <t>MA-01 + MA-02 (walks between)</t>
  </si>
  <si>
    <t>MA-03 + MA-05 (walks between)</t>
  </si>
  <si>
    <t>MA-04 dedicated (sub-assy convergence)</t>
  </si>
  <si>
    <t>MA-06 dedicated (final OQC)</t>
  </si>
  <si>
    <t>MA TOTAL</t>
  </si>
  <si>
    <t>4 workers · 6 stations</t>
  </si>
  <si>
    <t>Plant Headcount — 5,000 bikes/yr</t>
  </si>
  <si>
    <t>Single shift · Lean coverage with role-sharing where safe</t>
  </si>
  <si>
    <t>Section</t>
  </si>
  <si>
    <t>Role / Station</t>
  </si>
  <si>
    <t>Count</t>
  </si>
  <si>
    <t>ASSEMBLY  —  20 total</t>
  </si>
  <si>
    <t>Main Line operators  (MA-01 → MA-06)</t>
  </si>
  <si>
    <t>Mixed</t>
  </si>
  <si>
    <t>2 Semi + 1 Skilled (MA-04) + 1 Senior (MA-06)</t>
  </si>
  <si>
    <t>Sub-Assembly operators  (SA-01 → SA-11)</t>
  </si>
  <si>
    <t>8 Semi + 3 Skilled (SA-04, SA-10 × 2)</t>
  </si>
  <si>
    <t>Material Handler / Kitting</t>
  </si>
  <si>
    <t>Unskilled</t>
  </si>
  <si>
    <t>Pre-kits parts; feeds stations</t>
  </si>
  <si>
    <t>Line Supervisor</t>
  </si>
  <si>
    <t>1 per zone: Sub-Assy / Main Line / Pre-Proc / FG-Receiving</t>
  </si>
  <si>
    <t>can be reviewed</t>
  </si>
  <si>
    <t>PRE-PROCESSING  (Weld · Frame Tag · Paint) — 7 total</t>
  </si>
  <si>
    <t>Welder</t>
  </si>
  <si>
    <t>MIG / TIG; covers frame jigs</t>
  </si>
  <si>
    <t>Welder helper</t>
  </si>
  <si>
    <t>Tacking, fit-up, material</t>
  </si>
  <si>
    <t>Painter</t>
  </si>
  <si>
    <t>Spray + oven cycle</t>
  </si>
  <si>
    <t>Paint helper</t>
  </si>
  <si>
    <t>Masking, hanging, transfer</t>
  </si>
  <si>
    <t>Frame Tagger</t>
  </si>
  <si>
    <t>QUALITY  ·  MAINTENANCE  ·  STORES — 7 total</t>
  </si>
  <si>
    <t>QC Inspector (IQC + in-process)</t>
  </si>
  <si>
    <t>MA-06 covers final OQC</t>
  </si>
  <si>
    <t>Mechanical Technician</t>
  </si>
  <si>
    <t>Conveyor, jigs, fixtures</t>
  </si>
  <si>
    <t>Electrical Technician</t>
  </si>
  <si>
    <t>Power, controls, paint oven</t>
  </si>
  <si>
    <t>Stores In-charge</t>
  </si>
  <si>
    <t>Receiving, issue, cycle count</t>
  </si>
  <si>
    <t>Stores Helper</t>
  </si>
  <si>
    <t>Unload, put-away, dispatch</t>
  </si>
  <si>
    <t>PROFESSIONALS  —  Management &amp; Engineering — 9 total</t>
  </si>
  <si>
    <t>Plant Manager</t>
  </si>
  <si>
    <t>Professional</t>
  </si>
  <si>
    <t>Overall P&amp;L</t>
  </si>
  <si>
    <t>Production Manager</t>
  </si>
  <si>
    <t>Daily operations</t>
  </si>
  <si>
    <t>Quality Manager</t>
  </si>
  <si>
    <t>QMS, audits, supplier quality</t>
  </si>
  <si>
    <t>Industrial / Production Engineer</t>
  </si>
  <si>
    <t>Line balance, time studies</t>
  </si>
  <si>
    <t>Maintenance Engineer</t>
  </si>
  <si>
    <t>Preventive maint., spares</t>
  </si>
  <si>
    <t>Supply Chain Manager</t>
  </si>
  <si>
    <t>Vendors, planning, inventory</t>
  </si>
  <si>
    <t>HR &amp; Admin Officer</t>
  </si>
  <si>
    <t>Lean role: HR + Admin combined</t>
  </si>
  <si>
    <t>Finance / Accounts</t>
  </si>
  <si>
    <t>Books, payroll, taxes</t>
  </si>
  <si>
    <t>Safety Officer (EHS)</t>
  </si>
  <si>
    <t>Mandatory; SA-10 + paint risk areas</t>
  </si>
  <si>
    <t>GENERAL SUPPORT — 7 total</t>
  </si>
  <si>
    <t>Security Guards</t>
  </si>
  <si>
    <t>Gate, patrols, night cover</t>
  </si>
  <si>
    <t>Housekeeping</t>
  </si>
  <si>
    <t>Production + offices</t>
  </si>
  <si>
    <t>Driver</t>
  </si>
  <si>
    <t>Company vehicle / errands</t>
  </si>
  <si>
    <t>Receptionist / Office Asst.</t>
  </si>
  <si>
    <t>Front desk, courier, docs</t>
  </si>
  <si>
    <t>PLANT TOTAL</t>
  </si>
  <si>
    <t>Single shift · 250 days · 480 min/day</t>
  </si>
  <si>
    <t>SKILL-MIX SUMMARY</t>
  </si>
  <si>
    <t>% of Plant</t>
  </si>
  <si>
    <t>Labour Cost — Monthly &amp; Annual</t>
  </si>
  <si>
    <t>★ EDIT THE YELLOW CELLS — these are indicative Pakistani manufacturing rates (mid-2026). Replace with your company's actuals.</t>
  </si>
  <si>
    <t>PER-SKILL DEFAULT RATES  (PKR / month)  —  editable</t>
  </si>
  <si>
    <t>Default Monthly Salary (PKR)</t>
  </si>
  <si>
    <t>PER-PROFESSIONAL ROLE RATES  (PKR / month)  —  editable</t>
  </si>
  <si>
    <t>Role</t>
  </si>
  <si>
    <t>HEADCOUNT  ×  SALARY  =  MONTHLY &amp; ANNUAL COST</t>
  </si>
  <si>
    <t>#</t>
  </si>
  <si>
    <t>Skill</t>
  </si>
  <si>
    <t>Monthly Rate (PKR)</t>
  </si>
  <si>
    <t>Monthly Cost (PKR)</t>
  </si>
  <si>
    <t>Main Line · Worker A (MA-01/02)</t>
  </si>
  <si>
    <t>Walking worker</t>
  </si>
  <si>
    <t>Main Line · Worker B (MA-03/05)</t>
  </si>
  <si>
    <t>Main Line · Worker C (MA-04 ★)</t>
  </si>
  <si>
    <t>★ Sub-assy convergence</t>
  </si>
  <si>
    <t>Main Line · Worker D (MA-06 ★)</t>
  </si>
  <si>
    <t>★ Final OQC</t>
  </si>
  <si>
    <t>Sub-Assembly — Semi-skilled (×8)</t>
  </si>
  <si>
    <t>SA-01,02,03,05,06,07,08,09,11</t>
  </si>
  <si>
    <t>Sub-Assembly — Skilled (SA-04)</t>
  </si>
  <si>
    <t>Front electrical</t>
  </si>
  <si>
    <t>Sub-Assembly — Skilled (SA-10 ★)</t>
  </si>
  <si>
    <t>★ Battery box — never &lt; 2</t>
  </si>
  <si>
    <t>1 per zone (Sub-Assy / ML / Pre-Proc / FG)</t>
  </si>
  <si>
    <t>QC Inspector</t>
  </si>
  <si>
    <t>Sum of all roles × monthly rate</t>
  </si>
  <si>
    <t>ANNUAL LABOUR COST</t>
  </si>
  <si>
    <t>Monthly × 12 (no bonus / OT included)</t>
  </si>
  <si>
    <t>ANNUAL LABOUR COST  /  BIKE  (at 5,000 bikes/yr)</t>
  </si>
  <si>
    <t>Total labour ÷ 5,000</t>
  </si>
  <si>
    <t>CapEx — Quoted (Automation Innovative Technologies)</t>
  </si>
  <si>
    <t>Quotation # F18-1109B-176 · Dated 5 May 2026 · Customer ID AIE148 · Contact: Ameer Ali (0300-5184846)</t>
  </si>
  <si>
    <t>Vendor: Automation Innovative Technologies · info.aiepk@gmail.com</t>
  </si>
  <si>
    <t>Item</t>
  </si>
  <si>
    <t>Description (per quote)</t>
  </si>
  <si>
    <t>Unit Price (PKR)</t>
  </si>
  <si>
    <t>Qty</t>
  </si>
  <si>
    <t>Amount (PKR)</t>
  </si>
  <si>
    <t>Vendor Note</t>
  </si>
  <si>
    <t>1</t>
  </si>
  <si>
    <t>Assembly Line — Complete 60 ft</t>
  </si>
  <si>
    <t>Structure: Column &amp; Beam, U-Channel. Column 3"×3" 18 gauge (base plate &amp; 8 mm bolts). Beam 3"×3" 18 gauge. U-Channel 10" 18 gauge. Heavy-duty roller chain, duplex (2-strand), pitch 25.4 mm, bearing dia 15.88 mm. Breaking strength 6,500–7,500 kg. Working load 1,200–1,500 kg continuous. Motor gear capacity 3 HP. China bearings. Conveyor channel + covering sheet 18 gauge. VFD control panel. Powder-coat paint.</t>
  </si>
  <si>
    <t>All conveyor is extendable, easy to transfer</t>
  </si>
  <si>
    <t>2</t>
  </si>
  <si>
    <t>Paint Booth + Flash-off Gallery</t>
  </si>
  <si>
    <t>Paint Booth H 11′ × W 10′ × L 12′, 1 mm sheet. Flash-off H 11′ × W 10′ × L 8′, 1 mm sheet. Water curtain 8′ × 7′ galvanized 1.6 mm sheet. Floor plane 1½″ × 1½″ angle + 1″ square bar. Side pillar + base + junction pillar, 2 mm sheet. Vacuum blower 5 HP × 2. Fresh air blower 3 HP.</t>
  </si>
  <si>
    <t>Paint booth totally bolted and laser-CNC based</t>
  </si>
  <si>
    <t>3</t>
  </si>
  <si>
    <t>Phosphate Tanks</t>
  </si>
  <si>
    <t>Tank size L 5′ × W 5′ × H 5′, HR sheet 3 mm × 5 pcs. Side platform 1½″ × 1½″ pipe + ⅜″ square rod. Over-head conveyor 1 ton with control panel. Over-head conveyor structure. Overflow trays. Heat chamber 5″ pipe + burner ¾ HP × 2 pcs. Control panel. Paint.</t>
  </si>
  <si>
    <t>Welded with MIG welding; fewer joints than others</t>
  </si>
  <si>
    <t>4</t>
  </si>
  <si>
    <t>Baking Oven + Dry Oven (1 + 1)</t>
  </si>
  <si>
    <t>Baking oven L 14′ × W 10′ × H 8′ with inner 1 mm galvanized sheet. Air circulation blower 3 HP motor. Burner 1 HP for ovens. Insulated with glasswool jacketed sandwich, extendable, bolted. Heat exchanger + heat chamber. Control panel.</t>
  </si>
  <si>
    <t>Totally adjustable and bolted</t>
  </si>
  <si>
    <t>5</t>
  </si>
  <si>
    <t>2-Wheel Vehicle Test Bench (with Control Panel)</t>
  </si>
  <si>
    <t>Speed test 8″ roller × 2. Brake test 4.5″ roller × 2. 3″ × 1½″ channel + 1½″ angle structure, base sheet 3 mm. Alignment test, light-lux test. PLC-based 24″ LED display control system. Real-time database + print report.</t>
  </si>
  <si>
    <t>6</t>
  </si>
  <si>
    <t>Hub Motor Test System</t>
  </si>
  <si>
    <t>Speed (RPM), voltage, current, torque, efficiency, load test. Auto + manual operate system. PLC-based HMI touch screen, graphical interface, trending, and test report.</t>
  </si>
  <si>
    <t>SUBTOTAL</t>
  </si>
  <si>
    <t>Sales Tax  (quote is exclusive of all taxes — edit rate cell below)</t>
  </si>
  <si>
    <t>Tax rate placeholder = 0%; edit if applicable</t>
  </si>
  <si>
    <t>GRAND TOTAL  (PKR)</t>
  </si>
  <si>
    <t>As per quote: PKR 11,278,000 (zero tax)</t>
  </si>
  <si>
    <t>TERMS  &amp;  CONDITIONS  (per vendor quote, page 2)</t>
  </si>
  <si>
    <t>Quotation validity</t>
  </si>
  <si>
    <t>3 days from date of issue (5 May 2026) — material-price volatility</t>
  </si>
  <si>
    <t>Payment terms</t>
  </si>
  <si>
    <t>As per mutual understanding</t>
  </si>
  <si>
    <t>Pricing</t>
  </si>
  <si>
    <t>Exclusive of all applicable taxes</t>
  </si>
  <si>
    <t>Warranty</t>
  </si>
  <si>
    <t>1 year service warranty · all parts available on demand</t>
  </si>
  <si>
    <t>Delivery &amp; install</t>
  </si>
  <si>
    <t>Within 90 working days from confirmed PO + advance payment (subject to site readiness)</t>
  </si>
  <si>
    <t>Excluded scope</t>
  </si>
  <si>
    <t>Civil works · electrical power works · cables &amp; DBs · logistics/transport · power supply · gate pass · approvals · light &amp; fan power wires</t>
  </si>
  <si>
    <t>Other</t>
  </si>
  <si>
    <t>All other parameters executed strictly per client specifications</t>
  </si>
  <si>
    <t>CapEx — Additional Items  (not in AIT quote)</t>
  </si>
  <si>
    <t>★ EDIT THE YELLOW CELLS — these are indicative ROM estimates only. Replace with actual quotes.</t>
  </si>
  <si>
    <t>Item / Scope</t>
  </si>
  <si>
    <t>Indicative Cost (PKR)</t>
  </si>
  <si>
    <t>Confidence</t>
  </si>
  <si>
    <t>Welding equipment (MIG × 2 + helmets, fixtures, tools)</t>
  </si>
  <si>
    <t>Med</t>
  </si>
  <si>
    <t>Beyond what AIT supplies for assembly line — for weld shop</t>
  </si>
  <si>
    <t>Sub-assembly workbenches (11 stations)</t>
  </si>
  <si>
    <t>High</t>
  </si>
  <si>
    <t>~PKR 25k per bench × 11</t>
  </si>
  <si>
    <t>Sub-assembly tools, fixtures, torque wrenches</t>
  </si>
  <si>
    <t>Pneumatic &amp; manual; calibration kits</t>
  </si>
  <si>
    <t>Battery-box (SA-10) safety fit-out</t>
  </si>
  <si>
    <t>★ Insulated mats, fire blanket, gas detector, dedicated extinguisher</t>
  </si>
  <si>
    <t>Material handling — pallet trucks, trolleys, hand-jacks</t>
  </si>
  <si>
    <t>2 pallet trucks + 6 trolleys</t>
  </si>
  <si>
    <t>Storage racks (Incoming + Finished Goods)</t>
  </si>
  <si>
    <t>Heavy-duty pallet racking + bin shelving</t>
  </si>
  <si>
    <t>Frame tagging — VIN punch + label printer + scanner</t>
  </si>
  <si>
    <t>Quality inspection tools (gauges, multimeters, etc.)</t>
  </si>
  <si>
    <t>IQC + in-process + final</t>
  </si>
  <si>
    <t>Compressed air system (compressor + piping + dryer)</t>
  </si>
  <si>
    <t>For paint, pneumatic tools, blow-off</t>
  </si>
  <si>
    <t>IT setup (PCs, printers, LAN, basic ERP / MRP)</t>
  </si>
  <si>
    <t>10 desktops + 2 printers + network + entry-level ERP licence</t>
  </si>
  <si>
    <t>Office furniture (desks, chairs, meeting room)</t>
  </si>
  <si>
    <t>Lockers, canteen kit, washrooms fit-out</t>
  </si>
  <si>
    <t>Worker amenities</t>
  </si>
  <si>
    <t>Safety equipment (PPE, fire extinguishers, eye-wash)</t>
  </si>
  <si>
    <t>Initial stock</t>
  </si>
  <si>
    <t>Misc. fit-out, signage, line marking, contingency</t>
  </si>
  <si>
    <t>Low</t>
  </si>
  <si>
    <t>10% contingency on the above</t>
  </si>
  <si>
    <t>SUBTOTAL — additional CapEx</t>
  </si>
  <si>
    <t>CapEx Summary — All-In Project Cost</t>
  </si>
  <si>
    <t>Roll-up of all capital costs to set up the plant</t>
  </si>
  <si>
    <t>Category</t>
  </si>
  <si>
    <t>% of Total</t>
  </si>
  <si>
    <t>Quoted equipment (AIT)</t>
  </si>
  <si>
    <t>Quote F18-1109B-176</t>
  </si>
  <si>
    <t>Additional equipment</t>
  </si>
  <si>
    <t>Items beyond AIT scope</t>
  </si>
  <si>
    <t>Equipment subtotal</t>
  </si>
  <si>
    <t>Civil works (site prep, flooring, partitions, paint, plumbing)</t>
  </si>
  <si>
    <t>TBD — obtain civil contractor quote</t>
  </si>
  <si>
    <t>Electrical works (power supply, DBs, cabling, lights, fans)</t>
  </si>
  <si>
    <t>TBD — required per AIT quote exclusions</t>
  </si>
  <si>
    <t>Land / building (lease deposit or purchase)</t>
  </si>
  <si>
    <t>TBD — own or rent decision</t>
  </si>
  <si>
    <t>Working capital (initial inventory, 1-month opex)</t>
  </si>
  <si>
    <t>TBD — depends on credit terms</t>
  </si>
  <si>
    <t>Other (regulatory, training, launch contingency)</t>
  </si>
  <si>
    <t>TBD</t>
  </si>
  <si>
    <t>PROJECT CapEx TOTAL</t>
  </si>
  <si>
    <t>Assumptions, Open Items &amp; Things to Verify</t>
  </si>
  <si>
    <t>PRODUCTION ASSUMPTIONS</t>
  </si>
  <si>
    <t>5,000 e-bikes per year</t>
  </si>
  <si>
    <t>Working calendar</t>
  </si>
  <si>
    <t>250 days/year, 1 shift/day, 480 min/shift (8 hrs)</t>
  </si>
  <si>
    <t>Daily production rate</t>
  </si>
  <si>
    <t>20 bikes per day</t>
  </si>
  <si>
    <t>Takt time</t>
  </si>
  <si>
    <t>24 minutes per bike</t>
  </si>
  <si>
    <t>Yield assumption</t>
  </si>
  <si>
    <t>100% first-pass (to be refined with actual data)</t>
  </si>
  <si>
    <t>Shift expansion plan</t>
  </si>
  <si>
    <t>Single shift in Y1 — scale to 2 shifts for ~10,000 bikes/yr if needed</t>
  </si>
  <si>
    <t>FACILITY ASSUMPTIONS</t>
  </si>
  <si>
    <t xml:space="preserve">150 ft × 80 ft = 12,000 sq ft single-story </t>
  </si>
  <si>
    <t xml:space="preserve">needs to be addressed to realistic </t>
  </si>
  <si>
    <t>~4,880 sq ft (40.7%) — production zones</t>
  </si>
  <si>
    <t>Aisles &amp; clearance</t>
  </si>
  <si>
    <t>~7,120 sq ft (59.3%) — forklift lanes, fire egress, 4 ft clearance around main line</t>
  </si>
  <si>
    <t>Main aisle width</t>
  </si>
  <si>
    <t>Minimum 8 ft for forklift; 4 ft for sub-assy walkways</t>
  </si>
  <si>
    <t>Ceiling height</t>
  </si>
  <si>
    <t>Minimum 20 ft for overhead conveyor (per AIT phosphate-tank scope)</t>
  </si>
  <si>
    <t>Power supply</t>
  </si>
  <si>
    <t>NOT included in AIT quote — client scope; estimate 200–300 kVA load</t>
  </si>
  <si>
    <t>Compressed air</t>
  </si>
  <si>
    <t>Required for paint + pneumatic tools — included in additional CapEx</t>
  </si>
  <si>
    <t>LABOUR ASSUMPTIONS  —  EDIT THE YELLOW CELLS ON SHEET 7</t>
  </si>
  <si>
    <t>Salary rates</t>
  </si>
  <si>
    <t>Indicative Pakistani manufacturing rates, mid-2026. REPLACE with your actuals on Sheet 7.</t>
  </si>
  <si>
    <t>Bonus / overtime</t>
  </si>
  <si>
    <t>NOT included in monthly rate — add separately if applicable</t>
  </si>
  <si>
    <t>Benefits (EOBI, SS, Eid)</t>
  </si>
  <si>
    <t>NOT included — typically adds 8–12% on top of base salary</t>
  </si>
  <si>
    <t>Annual leave / sick days</t>
  </si>
  <si>
    <t>Not modelled in current version</t>
  </si>
  <si>
    <t>MA-04 (Skilled)</t>
  </si>
  <si>
    <t>Sub-assembly convergence point — needs experienced fitter</t>
  </si>
  <si>
    <t>MA-06 (Senior)</t>
  </si>
  <si>
    <t>Doubles as final OQC sign-off</t>
  </si>
  <si>
    <t>SA-10 (Battery Box) ★</t>
  </si>
  <si>
    <t>Safety-critical — ALWAYS 2 skilled workers, never under-staff</t>
  </si>
  <si>
    <t>QUOTE ASSUMPTIONS  (AIT — F18-1109B-176)</t>
  </si>
  <si>
    <t>Quote validity</t>
  </si>
  <si>
    <t>Only 3 days from 5 May 2026 — material-price volatility. CONFIRM/RENEGOTIATE.</t>
  </si>
  <si>
    <t>Tax treatment</t>
  </si>
  <si>
    <t>Quote is exclusive of all taxes. Tax row on Sheet 8 is set to 0% — edit if needed.</t>
  </si>
  <si>
    <t>Delivery timeline</t>
  </si>
  <si>
    <t>90 working days from confirmed PO + advance payment</t>
  </si>
  <si>
    <t>Vendor warranty</t>
  </si>
  <si>
    <t>1 year service + parts available on demand</t>
  </si>
  <si>
    <t>Civil, electrical, cables, DBs, logistics, transport, lighting, fans — all client scope</t>
  </si>
  <si>
    <t>Site readiness</t>
  </si>
  <si>
    <t>Vendor delivery timeline assumes site is ready — schedule civil/elec works first</t>
  </si>
  <si>
    <t>OPEN ITEMS  /  TO BE COSTED</t>
  </si>
  <si>
    <t>Civil works</t>
  </si>
  <si>
    <t>Site prep, flooring, partitions, plumbing, painting — get civil contractor quotes</t>
  </si>
  <si>
    <t>Electrical works</t>
  </si>
  <si>
    <t>Power supply, DBs, cables, lights, fans, earthing — get electrical contractor quotes</t>
  </si>
  <si>
    <t>Land / building</t>
  </si>
  <si>
    <t>Lease deposit or purchase cost — depends on location (Lahore/Karachi/Islamabad)</t>
  </si>
  <si>
    <t>Working capital</t>
  </si>
  <si>
    <t>Initial inventory + 1-month operating cost float</t>
  </si>
  <si>
    <t>Annual operating cost (opex)</t>
  </si>
  <si>
    <t>Utilities, consumables, R&amp;M — to be modelled in next iteration</t>
  </si>
  <si>
    <t>Depreciation &amp; ROI</t>
  </si>
  <si>
    <t>To be modelled in next iteration with full 5-year cashflow</t>
  </si>
  <si>
    <t>Vendor approvals / regulatory</t>
  </si>
  <si>
    <t>PEC registration, EPA NOC, fire safety — client scope</t>
  </si>
  <si>
    <t>Insurance</t>
  </si>
  <si>
    <t>Plant, machinery, inventory, workmen's compensation</t>
  </si>
  <si>
    <t>Training cost</t>
  </si>
  <si>
    <t>Initial worker training, vendor-led commissioning support</t>
  </si>
  <si>
    <t>ITERATION PLAN</t>
  </si>
  <si>
    <t>v1 (this file)</t>
  </si>
  <si>
    <t>Layout, headcount, labour cost, capex (quoted + estimated additional)</t>
  </si>
  <si>
    <t>v2 (next)</t>
  </si>
  <si>
    <t>Replace salary placeholders with actuals; finalise additional capex with real quotes</t>
  </si>
  <si>
    <t>v3</t>
  </si>
  <si>
    <t>Add civil + electrical contractor quotes; finalise land/building decision</t>
  </si>
  <si>
    <t>v4</t>
  </si>
  <si>
    <t>Add 5-year operating cost model + ROI / payback / NPV</t>
  </si>
  <si>
    <t>v5</t>
  </si>
  <si>
    <t>2-shift scaling scenario for 10,000 bikes/yr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</si>
</sst>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0.0%;[Red]\(0.0%\);\-"/>
    <numFmt numFmtId="166" formatCode="&quot;PKR &quot;#,##0;[Red]&quot;(PKR &quot;#,##0\);\-"/>
  </numFmts>
  <fonts count="30">
    <font>
      <sz val="11"/>
      <color theme="1"/>
      <name val="Calibri"/>
      <family val="2"/>
      <charset val="1"/>
    </font>
    <font>
      <b/>
      <sz val="22"/>
      <color rgb="FF1E3A8A"/>
      <name val="Calibri"/>
      <family val="2"/>
    </font>
    <font>
      <b/>
      <sz val="14"/>
      <color rgb="FF0F172A"/>
      <name val="Calibri"/>
      <family val="2"/>
    </font>
    <font>
      <i/>
      <sz val="11"/>
      <color rgb="FF64748B"/>
      <name val="Calibri"/>
      <family val="2"/>
    </font>
    <font>
      <i/>
      <sz val="9"/>
      <color rgb="FF64748B"/>
      <name val="Calibri"/>
      <family val="2"/>
    </font>
    <font>
      <b/>
      <sz val="11"/>
      <color rgb="FFFFFFFF"/>
      <name val="Calibri"/>
      <family val="2"/>
    </font>
    <font>
      <sz val="10"/>
      <color rgb="FF0F172A"/>
      <name val="Calibri"/>
      <family val="2"/>
    </font>
    <font>
      <b/>
      <sz val="11"/>
      <color rgb="FF1E3A8A"/>
      <name val="Calibri"/>
      <family val="2"/>
    </font>
    <font>
      <b/>
      <sz val="10"/>
      <color rgb="FF1E3A8A"/>
      <name val="Calibri"/>
      <family val="2"/>
    </font>
    <font>
      <sz val="10"/>
      <color rgb="FF64748B"/>
      <name val="Calibri"/>
      <family val="2"/>
    </font>
    <font>
      <b/>
      <sz val="10"/>
      <color rgb="FFFFFFFF"/>
      <name val="Calibri"/>
      <family val="2"/>
    </font>
    <font>
      <b/>
      <sz val="10"/>
      <color rgb="FF0F172A"/>
      <name val="Calibri"/>
      <family val="2"/>
    </font>
    <font>
      <b/>
      <sz val="18"/>
      <color rgb="FF1E3A8A"/>
      <name val="Calibri"/>
      <family val="2"/>
    </font>
    <font>
      <i/>
      <sz val="10"/>
      <color rgb="FF64748B"/>
      <name val="Calibri"/>
      <family val="2"/>
    </font>
    <font>
      <b/>
      <sz val="9"/>
      <color rgb="FF0F172A"/>
      <name val="Calibri"/>
      <family val="2"/>
    </font>
    <font>
      <b/>
      <sz val="8"/>
      <color rgb="FF0F172A"/>
      <name val="Calibri"/>
      <family val="2"/>
    </font>
    <font>
      <b/>
      <i/>
      <sz val="10"/>
      <color rgb="FF64748B"/>
      <name val="Calibri"/>
      <family val="2"/>
    </font>
    <font>
      <sz val="9"/>
      <color rgb="FF64748B"/>
      <name val="Calibri"/>
      <family val="2"/>
    </font>
    <font>
      <sz val="9"/>
      <color rgb="FFFFFFFF"/>
      <name val="Calibri"/>
      <family val="2"/>
    </font>
    <font>
      <i/>
      <sz val="10"/>
      <color rgb="FFFFFFFF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0F172A"/>
      <name val="Calibri"/>
      <family val="2"/>
    </font>
    <font>
      <i/>
      <sz val="10"/>
      <color rgb="FFB91C1C"/>
      <name val="Calibri"/>
      <family val="2"/>
    </font>
    <font>
      <b/>
      <sz val="11"/>
      <color rgb="FF0000FF"/>
      <name val="Calibri"/>
      <family val="2"/>
    </font>
    <font>
      <sz val="10"/>
      <color rgb="FF008000"/>
      <name val="Calibri"/>
      <family val="2"/>
    </font>
    <font>
      <b/>
      <i/>
      <sz val="10"/>
      <color rgb="FF0F172A"/>
      <name val="Calibri"/>
      <family val="2"/>
    </font>
    <font>
      <sz val="9"/>
      <color rgb="FF0F172A"/>
      <name val="Calibri"/>
      <family val="2"/>
    </font>
    <font>
      <sz val="11"/>
      <color rgb="FF008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EF3C7"/>
        <bgColor rgb="FFF1F5F9"/>
      </patternFill>
    </fill>
    <fill>
      <patternFill patternType="solid">
        <fgColor rgb="FFDBEAFE"/>
        <bgColor rgb="FFE2E8F0"/>
      </patternFill>
    </fill>
    <fill>
      <patternFill patternType="solid">
        <fgColor rgb="FFBFDBFE"/>
        <bgColor rgb="FFC7D2FE"/>
      </patternFill>
    </fill>
    <fill>
      <patternFill patternType="solid">
        <fgColor rgb="FFF8FAFC"/>
        <bgColor rgb="FFFFFFFF"/>
      </patternFill>
    </fill>
    <fill>
      <patternFill patternType="solid">
        <fgColor rgb="FFFED7AA"/>
        <bgColor rgb="FFFECACA"/>
      </patternFill>
    </fill>
    <fill>
      <patternFill patternType="solid">
        <fgColor rgb="FFD1D5DB"/>
        <bgColor rgb="FFCBD5E1"/>
      </patternFill>
    </fill>
    <fill>
      <patternFill patternType="solid">
        <fgColor rgb="FF93C5FD"/>
        <bgColor rgb="FFBFDBFE"/>
      </patternFill>
    </fill>
    <fill>
      <patternFill patternType="solid">
        <fgColor rgb="FFFEF08A"/>
        <bgColor rgb="FFFEF3C7"/>
      </patternFill>
    </fill>
    <fill>
      <patternFill patternType="solid">
        <fgColor rgb="FFFCA5A5"/>
        <bgColor rgb="FFFECACA"/>
      </patternFill>
    </fill>
    <fill>
      <patternFill patternType="solid">
        <fgColor rgb="FF86EFAC"/>
        <bgColor rgb="FFBBF7D0"/>
      </patternFill>
    </fill>
    <fill>
      <patternFill patternType="solid">
        <fgColor rgb="FFDDD6FE"/>
        <bgColor rgb="FFC7D2FE"/>
      </patternFill>
    </fill>
    <fill>
      <patternFill patternType="solid">
        <fgColor rgb="FF60A5FA"/>
        <bgColor rgb="FF93C5FD"/>
      </patternFill>
    </fill>
    <fill>
      <patternFill patternType="solid">
        <fgColor rgb="FFC7D2FE"/>
        <bgColor rgb="FFBFDBFE"/>
      </patternFill>
    </fill>
    <fill>
      <patternFill patternType="solid">
        <fgColor rgb="FFE2E8F0"/>
        <bgColor rgb="FFDBEAFE"/>
      </patternFill>
    </fill>
    <fill>
      <patternFill patternType="solid">
        <fgColor rgb="FFFECACA"/>
        <bgColor rgb="FFFED7AA"/>
      </patternFill>
    </fill>
    <fill>
      <patternFill patternType="solid">
        <fgColor rgb="FFBBF7D0"/>
        <bgColor rgb="FFDBEAF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F172A"/>
      </left>
      <right style="thin">
        <color rgb="FFF1F5F9"/>
      </right>
      <top style="medium">
        <color rgb="FF0F172A"/>
      </top>
      <bottom style="thin">
        <color rgb="FFF1F5F9"/>
      </bottom>
      <diagonal/>
    </border>
    <border>
      <left style="thin">
        <color rgb="FFF1F5F9"/>
      </left>
      <right style="thin">
        <color rgb="FFF1F5F9"/>
      </right>
      <top style="thin">
        <color rgb="FFF1F5F9"/>
      </top>
      <bottom style="thin">
        <color rgb="FFF1F5F9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medium">
        <color rgb="FF0F172A"/>
      </left>
      <right/>
      <top style="medium">
        <color rgb="FF0F172A"/>
      </top>
      <bottom style="thin">
        <color rgb="FFF1F5F9"/>
      </bottom>
      <diagonal/>
    </border>
    <border>
      <left style="thin">
        <color rgb="FFF1F5F9"/>
      </left>
      <right/>
      <top style="thin">
        <color rgb="FFF1F5F9"/>
      </top>
      <bottom style="thin">
        <color rgb="FFF1F5F9"/>
      </bottom>
      <diagonal/>
    </border>
    <border>
      <left/>
      <right style="thin">
        <color rgb="FFF1F5F9"/>
      </right>
      <top style="thin">
        <color rgb="FFF1F5F9"/>
      </top>
      <bottom style="thin">
        <color rgb="FFF1F5F9"/>
      </bottom>
      <diagonal/>
    </border>
    <border>
      <left style="thin">
        <color rgb="FFF1F5F9"/>
      </left>
      <right style="thin">
        <color rgb="FFF1F5F9"/>
      </right>
      <top/>
      <bottom style="thin">
        <color rgb="FFF1F5F9"/>
      </bottom>
      <diagonal/>
    </border>
    <border>
      <left style="thin">
        <color indexed="64"/>
      </left>
      <right style="thin">
        <color rgb="FFF1F5F9"/>
      </right>
      <top style="thin">
        <color indexed="64"/>
      </top>
      <bottom style="thin">
        <color rgb="FFF1F5F9"/>
      </bottom>
      <diagonal/>
    </border>
    <border>
      <left style="thin">
        <color rgb="FFF1F5F9"/>
      </left>
      <right style="thin">
        <color rgb="FFF1F5F9"/>
      </right>
      <top style="thin">
        <color indexed="64"/>
      </top>
      <bottom style="thin">
        <color rgb="FFF1F5F9"/>
      </bottom>
      <diagonal/>
    </border>
    <border>
      <left style="medium">
        <color rgb="FF0F172A"/>
      </left>
      <right style="thin">
        <color rgb="FFF1F5F9"/>
      </right>
      <top style="thin">
        <color indexed="64"/>
      </top>
      <bottom style="thin">
        <color rgb="FFF1F5F9"/>
      </bottom>
      <diagonal/>
    </border>
    <border>
      <left style="medium">
        <color rgb="FF0F172A"/>
      </left>
      <right style="thin">
        <color indexed="64"/>
      </right>
      <top style="thin">
        <color indexed="64"/>
      </top>
      <bottom style="thin">
        <color rgb="FFF1F5F9"/>
      </bottom>
      <diagonal/>
    </border>
    <border>
      <left style="thin">
        <color indexed="64"/>
      </left>
      <right style="thin">
        <color rgb="FFF1F5F9"/>
      </right>
      <top style="thin">
        <color rgb="FFF1F5F9"/>
      </top>
      <bottom style="thin">
        <color rgb="FFF1F5F9"/>
      </bottom>
      <diagonal/>
    </border>
    <border>
      <left style="medium">
        <color rgb="FF0F172A"/>
      </left>
      <right style="thin">
        <color indexed="64"/>
      </right>
      <top style="medium">
        <color rgb="FF0F172A"/>
      </top>
      <bottom style="thin">
        <color rgb="FFF1F5F9"/>
      </bottom>
      <diagonal/>
    </border>
    <border>
      <left style="thin">
        <color indexed="64"/>
      </left>
      <right style="thin">
        <color rgb="FFF1F5F9"/>
      </right>
      <top style="thin">
        <color rgb="FFF1F5F9"/>
      </top>
      <bottom style="thin">
        <color indexed="64"/>
      </bottom>
      <diagonal/>
    </border>
    <border>
      <left style="thin">
        <color rgb="FFF1F5F9"/>
      </left>
      <right style="thin">
        <color rgb="FFF1F5F9"/>
      </right>
      <top style="thin">
        <color rgb="FFF1F5F9"/>
      </top>
      <bottom style="thin">
        <color indexed="64"/>
      </bottom>
      <diagonal/>
    </border>
    <border>
      <left style="medium">
        <color rgb="FF0F172A"/>
      </left>
      <right style="thin">
        <color rgb="FFF1F5F9"/>
      </right>
      <top style="medium">
        <color rgb="FF0F172A"/>
      </top>
      <bottom style="thin">
        <color indexed="64"/>
      </bottom>
      <diagonal/>
    </border>
    <border>
      <left style="medium">
        <color rgb="FF0F172A"/>
      </left>
      <right style="thin">
        <color indexed="64"/>
      </right>
      <top style="medium">
        <color rgb="FF0F172A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8" fillId="0" borderId="0" xfId="0" applyFont="1"/>
    <xf numFmtId="0" fontId="0" fillId="3" borderId="1" xfId="0" applyFill="1" applyBorder="1"/>
    <xf numFmtId="0" fontId="11" fillId="0" borderId="0" xfId="0" applyFont="1"/>
    <xf numFmtId="0" fontId="0" fillId="4" borderId="1" xfId="0" applyFill="1" applyBorder="1"/>
    <xf numFmtId="0" fontId="0" fillId="2" borderId="1" xfId="0" applyFill="1" applyBorder="1"/>
    <xf numFmtId="0" fontId="0" fillId="6" borderId="3" xfId="0" applyFill="1" applyBorder="1"/>
    <xf numFmtId="0" fontId="17" fillId="0" borderId="0" xfId="0" applyFont="1"/>
    <xf numFmtId="0" fontId="17" fillId="4" borderId="0" xfId="0" applyFont="1" applyFill="1"/>
    <xf numFmtId="0" fontId="18" fillId="2" borderId="0" xfId="0" applyFont="1" applyFill="1"/>
    <xf numFmtId="0" fontId="10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164" fontId="22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7" borderId="1" xfId="0" applyFont="1" applyFill="1" applyBorder="1"/>
    <xf numFmtId="166" fontId="25" fillId="3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/>
    <xf numFmtId="0" fontId="11" fillId="5" borderId="1" xfId="0" applyFont="1" applyFill="1" applyBorder="1"/>
    <xf numFmtId="0" fontId="11" fillId="15" borderId="1" xfId="0" applyFont="1" applyFill="1" applyBorder="1"/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166" fontId="26" fillId="0" borderId="1" xfId="0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6" fontId="21" fillId="2" borderId="1" xfId="0" applyNumberFormat="1" applyFont="1" applyFill="1" applyBorder="1" applyAlignment="1">
      <alignment horizontal="right" vertical="center"/>
    </xf>
    <xf numFmtId="0" fontId="19" fillId="2" borderId="1" xfId="0" applyFont="1" applyFill="1" applyBorder="1"/>
    <xf numFmtId="166" fontId="7" fillId="4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right" vertical="center"/>
    </xf>
    <xf numFmtId="166" fontId="11" fillId="0" borderId="1" xfId="0" applyNumberFormat="1" applyFont="1" applyBorder="1" applyAlignment="1">
      <alignment horizontal="right" vertical="center"/>
    </xf>
    <xf numFmtId="166" fontId="23" fillId="4" borderId="1" xfId="0" applyNumberFormat="1" applyFont="1" applyFill="1" applyBorder="1" applyAlignment="1">
      <alignment horizontal="right" vertical="center"/>
    </xf>
    <xf numFmtId="166" fontId="9" fillId="0" borderId="1" xfId="0" applyNumberFormat="1" applyFont="1" applyBorder="1"/>
    <xf numFmtId="166" fontId="22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166" fontId="29" fillId="0" borderId="1" xfId="0" applyNumberFormat="1" applyFon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21" fillId="2" borderId="1" xfId="0" applyNumberFormat="1" applyFont="1" applyFill="1" applyBorder="1" applyAlignment="1">
      <alignment horizontal="center" vertical="center"/>
    </xf>
    <xf numFmtId="0" fontId="0" fillId="6" borderId="6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3" xfId="0" applyFill="1" applyBorder="1"/>
    <xf numFmtId="0" fontId="0" fillId="6" borderId="15" xfId="0" applyFill="1" applyBorder="1"/>
    <xf numFmtId="0" fontId="0" fillId="6" borderId="16" xfId="0" applyFill="1" applyBorder="1"/>
    <xf numFmtId="0" fontId="0" fillId="19" borderId="0" xfId="0" applyFill="1"/>
    <xf numFmtId="0" fontId="0" fillId="20" borderId="7" xfId="0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3" fillId="4" borderId="1" xfId="0" applyFont="1" applyFill="1" applyBorder="1" applyAlignment="1">
      <alignment horizontal="left" vertical="center" indent="1"/>
    </xf>
    <xf numFmtId="0" fontId="21" fillId="2" borderId="1" xfId="0" applyFont="1" applyFill="1" applyBorder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164" fontId="11" fillId="4" borderId="0" xfId="0" applyNumberFormat="1" applyFont="1" applyFill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16" fillId="6" borderId="3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1" fillId="16" borderId="4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27" fillId="4" borderId="1" xfId="0" applyFont="1" applyFill="1" applyBorder="1" applyAlignment="1">
      <alignment horizontal="left" vertical="center" indent="1"/>
    </xf>
    <xf numFmtId="0" fontId="24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/>
    </xf>
    <xf numFmtId="0" fontId="21" fillId="2" borderId="1" xfId="0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0" fillId="5" borderId="4" xfId="0" applyFill="1" applyBorder="1" applyAlignment="1"/>
    <xf numFmtId="0" fontId="0" fillId="7" borderId="4" xfId="0" applyFill="1" applyBorder="1" applyAlignment="1"/>
    <xf numFmtId="0" fontId="0" fillId="10" borderId="4" xfId="0" applyFill="1" applyBorder="1" applyAlignment="1"/>
    <xf numFmtId="0" fontId="0" fillId="13" borderId="4" xfId="0" applyFill="1" applyBorder="1" applyAlignment="1"/>
    <xf numFmtId="0" fontId="0" fillId="9" borderId="4" xfId="0" applyFill="1" applyBorder="1" applyAlignment="1"/>
    <xf numFmtId="0" fontId="0" fillId="11" borderId="4" xfId="0" applyFill="1" applyBorder="1" applyAlignment="1"/>
    <xf numFmtId="0" fontId="0" fillId="12" borderId="4" xfId="0" applyFill="1" applyBorder="1" applyAlignment="1"/>
    <xf numFmtId="0" fontId="0" fillId="14" borderId="4" xfId="0" applyFill="1" applyBorder="1" applyAlignment="1"/>
    <xf numFmtId="0" fontId="0" fillId="8" borderId="4" xfId="0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8F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BD5E1"/>
      <rgbColor rgb="FF808080"/>
      <rgbColor rgb="FF60A5FA"/>
      <rgbColor rgb="FF993366"/>
      <rgbColor rgb="FFFEF3C7"/>
      <rgbColor rgb="FFDBEAFE"/>
      <rgbColor rgb="FF660066"/>
      <rgbColor rgb="FFFECACA"/>
      <rgbColor rgb="FF0066CC"/>
      <rgbColor rgb="FFC7D2FE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F1F5F9"/>
      <rgbColor rgb="FFBBF7D0"/>
      <rgbColor rgb="FFFEF08A"/>
      <rgbColor rgb="FF93C5FD"/>
      <rgbColor rgb="FFFCA5A5"/>
      <rgbColor rgb="FFD1D5DB"/>
      <rgbColor rgb="FFFED7AA"/>
      <rgbColor rgb="FF3366FF"/>
      <rgbColor rgb="FF86EFAC"/>
      <rgbColor rgb="FF99CC00"/>
      <rgbColor rgb="FFDDD6FE"/>
      <rgbColor rgb="FFFF9900"/>
      <rgbColor rgb="FFFF6600"/>
      <rgbColor rgb="FF64748B"/>
      <rgbColor rgb="FFBFDBFE"/>
      <rgbColor rgb="FF003366"/>
      <rgbColor rgb="FF339966"/>
      <rgbColor rgb="FF0F172A"/>
      <rgbColor rgb="FF333300"/>
      <rgbColor rgb="FFB91C1C"/>
      <rgbColor rgb="FF993366"/>
      <rgbColor rgb="FF1E3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37"/>
  <sheetViews>
    <sheetView showGridLines="0" topLeftCell="A33" zoomScale="130" zoomScaleNormal="100" workbookViewId="0">
      <selection activeCell="G3" sqref="G3"/>
    </sheetView>
  </sheetViews>
  <sheetFormatPr defaultColWidth="8.7109375" defaultRowHeight="14.25"/>
  <cols>
    <col min="1" max="1" width="3" customWidth="1"/>
    <col min="2" max="2" width="35" customWidth="1"/>
    <col min="3" max="4" width="22" customWidth="1"/>
    <col min="5" max="5" width="25" customWidth="1"/>
    <col min="6" max="6" width="35" customWidth="1"/>
  </cols>
  <sheetData>
    <row r="2" spans="2:6" ht="31.5" customHeight="1">
      <c r="B2" s="99" t="s">
        <v>0</v>
      </c>
      <c r="C2" s="99"/>
      <c r="D2" s="99"/>
      <c r="E2" s="99"/>
      <c r="F2" s="99"/>
    </row>
    <row r="3" spans="2:6" ht="21.75" customHeight="1">
      <c r="B3" s="100" t="s">
        <v>1</v>
      </c>
      <c r="C3" s="100"/>
      <c r="D3" s="100"/>
      <c r="E3" s="100"/>
      <c r="F3" s="100"/>
    </row>
    <row r="4" spans="2:6">
      <c r="B4" s="101" t="s">
        <v>2</v>
      </c>
      <c r="C4" s="101"/>
      <c r="D4" s="101"/>
      <c r="E4" s="101"/>
      <c r="F4" s="101"/>
    </row>
    <row r="5" spans="2:6">
      <c r="B5" s="102" t="s">
        <v>3</v>
      </c>
      <c r="C5" s="102"/>
      <c r="D5" s="102"/>
      <c r="E5" s="102"/>
      <c r="F5" s="102"/>
    </row>
    <row r="7" spans="2:6" ht="21.75" customHeight="1">
      <c r="B7" s="98" t="s">
        <v>4</v>
      </c>
      <c r="C7" s="98"/>
      <c r="D7" s="98"/>
      <c r="E7" s="98"/>
      <c r="F7" s="98"/>
    </row>
    <row r="8" spans="2:6">
      <c r="B8" s="1" t="s">
        <v>5</v>
      </c>
      <c r="C8" s="2" t="s">
        <v>6</v>
      </c>
      <c r="E8" s="1" t="s">
        <v>7</v>
      </c>
      <c r="F8" s="3">
        <v>50</v>
      </c>
    </row>
    <row r="9" spans="2:6">
      <c r="B9" s="1" t="s">
        <v>8</v>
      </c>
      <c r="C9" s="3">
        <v>12000</v>
      </c>
      <c r="E9" s="1" t="s">
        <v>9</v>
      </c>
      <c r="F9" s="3">
        <v>32</v>
      </c>
    </row>
    <row r="10" spans="2:6">
      <c r="B10" s="1" t="s">
        <v>10</v>
      </c>
      <c r="C10" s="3">
        <v>4880</v>
      </c>
      <c r="E10" s="1" t="s">
        <v>11</v>
      </c>
      <c r="F10" s="3">
        <v>18</v>
      </c>
    </row>
    <row r="11" spans="2:6">
      <c r="B11" s="1" t="s">
        <v>12</v>
      </c>
      <c r="C11" s="3">
        <v>7120</v>
      </c>
      <c r="E11" s="1" t="s">
        <v>13</v>
      </c>
      <c r="F11" s="3">
        <v>20</v>
      </c>
    </row>
    <row r="12" spans="2:6">
      <c r="B12" s="1" t="s">
        <v>14</v>
      </c>
      <c r="C12" s="4">
        <f>C10/C9</f>
        <v>0.40666666666666668</v>
      </c>
      <c r="E12" s="1" t="s">
        <v>15</v>
      </c>
      <c r="F12" s="3">
        <v>5000</v>
      </c>
    </row>
    <row r="14" spans="2:6" ht="21.75" customHeight="1">
      <c r="B14" s="98" t="s">
        <v>16</v>
      </c>
      <c r="C14" s="98"/>
      <c r="D14" s="98"/>
      <c r="E14" s="98"/>
      <c r="F14" s="98"/>
    </row>
    <row r="15" spans="2:6">
      <c r="B15" s="1" t="s">
        <v>17</v>
      </c>
      <c r="C15" s="5">
        <f>'8. CapEx Quoted'!G15</f>
        <v>11278000</v>
      </c>
      <c r="E15" s="1" t="s">
        <v>18</v>
      </c>
      <c r="F15" s="5">
        <f>'7. Labour Cost'!G60</f>
        <v>45540000</v>
      </c>
    </row>
    <row r="16" spans="2:6">
      <c r="B16" s="1" t="s">
        <v>19</v>
      </c>
      <c r="C16" s="5">
        <f>'9. CapEx Additional'!D20</f>
        <v>6575000</v>
      </c>
      <c r="E16" s="1" t="s">
        <v>20</v>
      </c>
      <c r="F16" s="5">
        <f>'7. Labour Cost'!G59</f>
        <v>3795000</v>
      </c>
    </row>
    <row r="17" spans="2:6">
      <c r="B17" s="1" t="s">
        <v>21</v>
      </c>
      <c r="C17" s="5">
        <f>C15+C16</f>
        <v>17853000</v>
      </c>
      <c r="E17" s="1" t="s">
        <v>22</v>
      </c>
      <c r="F17" s="5">
        <f>F15/F12</f>
        <v>9108</v>
      </c>
    </row>
    <row r="18" spans="2:6">
      <c r="B18" s="1" t="s">
        <v>23</v>
      </c>
      <c r="C18" s="2" t="s">
        <v>24</v>
      </c>
      <c r="E18" s="1" t="s">
        <v>25</v>
      </c>
      <c r="F18" s="5">
        <f>C17/F12</f>
        <v>3570.6</v>
      </c>
    </row>
    <row r="20" spans="2:6" ht="21.75" customHeight="1">
      <c r="B20" s="98" t="s">
        <v>26</v>
      </c>
      <c r="C20" s="98"/>
      <c r="D20" s="98"/>
      <c r="E20" s="98"/>
      <c r="F20" s="98"/>
    </row>
    <row r="21" spans="2:6">
      <c r="B21" s="6" t="s">
        <v>27</v>
      </c>
      <c r="C21" s="96" t="s">
        <v>28</v>
      </c>
      <c r="D21" s="96"/>
      <c r="E21" s="96"/>
      <c r="F21" s="96"/>
    </row>
    <row r="22" spans="2:6">
      <c r="B22" s="6" t="s">
        <v>29</v>
      </c>
      <c r="C22" s="96" t="s">
        <v>30</v>
      </c>
      <c r="D22" s="96"/>
      <c r="E22" s="96"/>
      <c r="F22" s="96"/>
    </row>
    <row r="23" spans="2:6">
      <c r="B23" s="6" t="s">
        <v>31</v>
      </c>
      <c r="C23" s="96" t="s">
        <v>32</v>
      </c>
      <c r="D23" s="96"/>
      <c r="E23" s="96"/>
      <c r="F23" s="96"/>
    </row>
    <row r="24" spans="2:6">
      <c r="B24" s="6" t="s">
        <v>33</v>
      </c>
      <c r="C24" s="96" t="s">
        <v>34</v>
      </c>
      <c r="D24" s="96"/>
      <c r="E24" s="96"/>
      <c r="F24" s="96"/>
    </row>
    <row r="25" spans="2:6">
      <c r="B25" s="6" t="s">
        <v>35</v>
      </c>
      <c r="C25" s="96" t="s">
        <v>36</v>
      </c>
      <c r="D25" s="96"/>
      <c r="E25" s="96"/>
      <c r="F25" s="96"/>
    </row>
    <row r="26" spans="2:6">
      <c r="B26" s="6" t="s">
        <v>37</v>
      </c>
      <c r="C26" s="96" t="s">
        <v>38</v>
      </c>
      <c r="D26" s="96"/>
      <c r="E26" s="96"/>
      <c r="F26" s="96"/>
    </row>
    <row r="27" spans="2:6">
      <c r="B27" s="6" t="s">
        <v>39</v>
      </c>
      <c r="C27" s="96" t="s">
        <v>40</v>
      </c>
      <c r="D27" s="96"/>
      <c r="E27" s="96"/>
      <c r="F27" s="96"/>
    </row>
    <row r="28" spans="2:6">
      <c r="B28" s="6" t="s">
        <v>41</v>
      </c>
      <c r="C28" s="96" t="s">
        <v>42</v>
      </c>
      <c r="D28" s="96"/>
      <c r="E28" s="96"/>
      <c r="F28" s="96"/>
    </row>
    <row r="29" spans="2:6">
      <c r="B29" s="6" t="s">
        <v>43</v>
      </c>
      <c r="C29" s="96" t="s">
        <v>44</v>
      </c>
      <c r="D29" s="96"/>
      <c r="E29" s="96"/>
      <c r="F29" s="96"/>
    </row>
    <row r="30" spans="2:6">
      <c r="B30" s="6" t="s">
        <v>45</v>
      </c>
      <c r="C30" s="96" t="s">
        <v>46</v>
      </c>
      <c r="D30" s="96"/>
      <c r="E30" s="96"/>
      <c r="F30" s="96"/>
    </row>
    <row r="31" spans="2:6">
      <c r="B31" s="6" t="s">
        <v>47</v>
      </c>
      <c r="C31" s="96" t="s">
        <v>48</v>
      </c>
      <c r="D31" s="96"/>
      <c r="E31" s="96"/>
      <c r="F31" s="96"/>
    </row>
    <row r="34" spans="2:6">
      <c r="B34" s="97" t="s">
        <v>49</v>
      </c>
      <c r="C34" s="97"/>
      <c r="D34" s="97"/>
      <c r="E34" s="97"/>
      <c r="F34" s="97"/>
    </row>
    <row r="35" spans="2:6">
      <c r="B35" s="7"/>
      <c r="C35" s="8" t="s">
        <v>50</v>
      </c>
      <c r="D35" s="96" t="s">
        <v>51</v>
      </c>
      <c r="E35" s="96"/>
      <c r="F35" s="96"/>
    </row>
    <row r="36" spans="2:6">
      <c r="B36" s="9"/>
      <c r="C36" s="8" t="s">
        <v>52</v>
      </c>
      <c r="D36" s="96" t="s">
        <v>53</v>
      </c>
      <c r="E36" s="96"/>
      <c r="F36" s="96"/>
    </row>
    <row r="37" spans="2:6">
      <c r="B37" s="10"/>
      <c r="C37" s="8" t="s">
        <v>54</v>
      </c>
      <c r="D37" s="96" t="s">
        <v>55</v>
      </c>
      <c r="E37" s="96"/>
      <c r="F37" s="96"/>
    </row>
  </sheetData>
  <mergeCells count="22">
    <mergeCell ref="B2:F2"/>
    <mergeCell ref="B3:F3"/>
    <mergeCell ref="B4:F4"/>
    <mergeCell ref="B5:F5"/>
    <mergeCell ref="B7:F7"/>
    <mergeCell ref="B14:F14"/>
    <mergeCell ref="B20:F20"/>
    <mergeCell ref="C21:F21"/>
    <mergeCell ref="C22:F22"/>
    <mergeCell ref="C23:F23"/>
    <mergeCell ref="C24:F24"/>
    <mergeCell ref="C25:F25"/>
    <mergeCell ref="C26:F26"/>
    <mergeCell ref="C27:F27"/>
    <mergeCell ref="C28:F28"/>
    <mergeCell ref="D36:F36"/>
    <mergeCell ref="D37:F37"/>
    <mergeCell ref="C29:F29"/>
    <mergeCell ref="C30:F30"/>
    <mergeCell ref="C31:F31"/>
    <mergeCell ref="B34:F34"/>
    <mergeCell ref="D35:F35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N49"/>
  <sheetViews>
    <sheetView showGridLines="0" topLeftCell="A7" zoomScale="107" zoomScaleNormal="100" workbookViewId="0">
      <selection activeCell="AC26" sqref="AC26"/>
    </sheetView>
  </sheetViews>
  <sheetFormatPr defaultColWidth="8.7109375" defaultRowHeight="14.25"/>
  <cols>
    <col min="1" max="1" width="2" customWidth="1"/>
    <col min="2" max="51" width="4.140625" customWidth="1"/>
  </cols>
  <sheetData>
    <row r="1" spans="2:40" ht="21.75" customHeight="1"/>
    <row r="2" spans="2:40" ht="27.75" customHeight="1">
      <c r="B2" s="92" t="s">
        <v>56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</row>
    <row r="3" spans="2:40" ht="18" customHeight="1">
      <c r="B3" s="93" t="s">
        <v>57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</row>
    <row r="4" spans="2:40" ht="21.75" customHeight="1"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 t="s">
        <v>58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</row>
    <row r="5" spans="2:40" ht="21.75" customHeight="1">
      <c r="B5" s="112" t="s">
        <v>59</v>
      </c>
      <c r="C5" s="112"/>
      <c r="D5" s="112"/>
      <c r="E5" s="112"/>
      <c r="F5" s="112"/>
      <c r="G5" s="112"/>
      <c r="H5" s="11"/>
      <c r="I5" s="113" t="s">
        <v>60</v>
      </c>
      <c r="J5" s="113"/>
      <c r="K5" s="113"/>
      <c r="L5" s="113"/>
      <c r="M5" s="114"/>
      <c r="N5" s="85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115" t="s">
        <v>61</v>
      </c>
      <c r="AI5" s="115"/>
      <c r="AJ5" s="115"/>
      <c r="AK5" s="115"/>
      <c r="AL5" s="116"/>
      <c r="AM5" s="91"/>
      <c r="AN5" s="11"/>
    </row>
    <row r="6" spans="2:40" ht="21.75" customHeight="1">
      <c r="B6" s="112"/>
      <c r="C6" s="112"/>
      <c r="D6" s="112"/>
      <c r="E6" s="112"/>
      <c r="F6" s="112"/>
      <c r="G6" s="112"/>
      <c r="H6" s="11"/>
      <c r="I6" s="113"/>
      <c r="J6" s="113"/>
      <c r="K6" s="113"/>
      <c r="L6" s="113"/>
      <c r="M6" s="114"/>
      <c r="N6" s="87"/>
      <c r="O6" s="110" t="s">
        <v>62</v>
      </c>
      <c r="P6" s="110"/>
      <c r="Q6" s="110" t="s">
        <v>63</v>
      </c>
      <c r="R6" s="110"/>
      <c r="S6" s="110" t="s">
        <v>64</v>
      </c>
      <c r="T6" s="110"/>
      <c r="U6" s="110" t="s">
        <v>65</v>
      </c>
      <c r="V6" s="110"/>
      <c r="W6" s="110" t="s">
        <v>66</v>
      </c>
      <c r="X6" s="110"/>
      <c r="Y6" s="110" t="s">
        <v>67</v>
      </c>
      <c r="Z6" s="110"/>
      <c r="AA6" s="11"/>
      <c r="AB6" s="11"/>
      <c r="AC6" s="11"/>
      <c r="AD6" s="11"/>
      <c r="AE6" s="11"/>
      <c r="AF6" s="11"/>
      <c r="AG6" s="11"/>
      <c r="AH6" s="117"/>
      <c r="AI6" s="117"/>
      <c r="AJ6" s="117"/>
      <c r="AK6" s="117"/>
      <c r="AL6" s="118"/>
      <c r="AM6" s="91"/>
      <c r="AN6" s="11"/>
    </row>
    <row r="7" spans="2:40" ht="21.75" customHeight="1">
      <c r="B7" s="112"/>
      <c r="C7" s="112"/>
      <c r="D7" s="112"/>
      <c r="E7" s="112"/>
      <c r="F7" s="112"/>
      <c r="G7" s="112"/>
      <c r="H7" s="11"/>
      <c r="I7" s="113"/>
      <c r="J7" s="113"/>
      <c r="K7" s="113"/>
      <c r="L7" s="113"/>
      <c r="M7" s="114"/>
      <c r="N7" s="87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"/>
      <c r="AB7" s="11"/>
      <c r="AC7" s="11"/>
      <c r="AD7" s="11"/>
      <c r="AE7" s="11"/>
      <c r="AF7" s="11"/>
      <c r="AG7" s="11"/>
      <c r="AH7" s="117"/>
      <c r="AI7" s="117"/>
      <c r="AJ7" s="117"/>
      <c r="AK7" s="117"/>
      <c r="AL7" s="118"/>
      <c r="AM7" s="91"/>
      <c r="AN7" s="11"/>
    </row>
    <row r="8" spans="2:40" ht="21.75" customHeight="1">
      <c r="B8" s="112"/>
      <c r="C8" s="112"/>
      <c r="D8" s="112"/>
      <c r="E8" s="112"/>
      <c r="F8" s="112"/>
      <c r="G8" s="112"/>
      <c r="H8" s="11"/>
      <c r="I8" s="121" t="s">
        <v>68</v>
      </c>
      <c r="J8" s="121"/>
      <c r="K8" s="121"/>
      <c r="L8" s="11"/>
      <c r="N8" s="87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7"/>
      <c r="AI8" s="117"/>
      <c r="AJ8" s="117"/>
      <c r="AK8" s="117"/>
      <c r="AL8" s="118"/>
      <c r="AM8" s="91"/>
      <c r="AN8" s="11"/>
    </row>
    <row r="9" spans="2:40" ht="21.75" customHeight="1">
      <c r="B9" s="112"/>
      <c r="C9" s="112"/>
      <c r="D9" s="112"/>
      <c r="E9" s="112"/>
      <c r="F9" s="112"/>
      <c r="G9" s="112"/>
      <c r="H9" s="11"/>
      <c r="I9" s="121"/>
      <c r="J9" s="121"/>
      <c r="K9" s="121"/>
      <c r="L9" s="11"/>
      <c r="M9" s="83"/>
      <c r="N9" s="87"/>
      <c r="O9" s="122" t="s">
        <v>69</v>
      </c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1"/>
      <c r="AB9" s="123" t="s">
        <v>70</v>
      </c>
      <c r="AC9" s="123"/>
      <c r="AD9" s="123"/>
      <c r="AE9" s="123"/>
      <c r="AF9" s="11"/>
      <c r="AG9" s="11"/>
      <c r="AH9" s="117"/>
      <c r="AI9" s="117"/>
      <c r="AJ9" s="117"/>
      <c r="AK9" s="117"/>
      <c r="AL9" s="118"/>
      <c r="AM9" s="91"/>
      <c r="AN9" s="11"/>
    </row>
    <row r="10" spans="2:40" ht="21.75" customHeight="1">
      <c r="B10" s="112"/>
      <c r="C10" s="112"/>
      <c r="D10" s="112"/>
      <c r="E10" s="112"/>
      <c r="F10" s="112"/>
      <c r="G10" s="112"/>
      <c r="H10" s="11"/>
      <c r="I10" s="121"/>
      <c r="J10" s="121"/>
      <c r="K10" s="121"/>
      <c r="L10" s="11"/>
      <c r="M10" s="83"/>
      <c r="N10" s="87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1"/>
      <c r="AB10" s="123"/>
      <c r="AC10" s="123"/>
      <c r="AD10" s="123"/>
      <c r="AE10" s="123"/>
      <c r="AF10" s="11"/>
      <c r="AG10" s="11"/>
      <c r="AH10" s="117"/>
      <c r="AI10" s="117"/>
      <c r="AJ10" s="117"/>
      <c r="AK10" s="117"/>
      <c r="AL10" s="118"/>
      <c r="AM10" s="91"/>
      <c r="AN10" s="11"/>
    </row>
    <row r="11" spans="2:40" ht="21.7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83"/>
      <c r="N11" s="87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3"/>
      <c r="AC11" s="123"/>
      <c r="AD11" s="123"/>
      <c r="AE11" s="123"/>
      <c r="AF11" s="11"/>
      <c r="AG11" s="11"/>
      <c r="AH11" s="117"/>
      <c r="AI11" s="117"/>
      <c r="AJ11" s="117"/>
      <c r="AK11" s="117"/>
      <c r="AL11" s="118"/>
      <c r="AM11" s="91" t="s">
        <v>71</v>
      </c>
      <c r="AN11" s="11"/>
    </row>
    <row r="12" spans="2:40" ht="21.75" customHeight="1">
      <c r="B12" s="124" t="s">
        <v>72</v>
      </c>
      <c r="C12" s="124"/>
      <c r="D12" s="124"/>
      <c r="E12" s="124"/>
      <c r="F12" s="124"/>
      <c r="G12" s="124"/>
      <c r="H12" s="11"/>
      <c r="I12" s="11"/>
      <c r="J12" s="11"/>
      <c r="K12" s="11"/>
      <c r="L12" s="11"/>
      <c r="M12" s="83"/>
      <c r="N12" s="87"/>
      <c r="O12" s="110" t="s">
        <v>73</v>
      </c>
      <c r="P12" s="110"/>
      <c r="Q12" s="110" t="s">
        <v>74</v>
      </c>
      <c r="R12" s="110"/>
      <c r="S12" s="110" t="s">
        <v>75</v>
      </c>
      <c r="T12" s="110"/>
      <c r="U12" s="110" t="s">
        <v>76</v>
      </c>
      <c r="V12" s="110"/>
      <c r="W12" s="110" t="s">
        <v>77</v>
      </c>
      <c r="X12" s="110"/>
      <c r="Y12" s="11"/>
      <c r="Z12" s="11"/>
      <c r="AA12" s="11"/>
      <c r="AB12" s="123"/>
      <c r="AC12" s="123"/>
      <c r="AD12" s="123"/>
      <c r="AE12" s="123"/>
      <c r="AF12" s="11"/>
      <c r="AG12" s="11"/>
      <c r="AH12" s="117"/>
      <c r="AI12" s="117"/>
      <c r="AJ12" s="117"/>
      <c r="AK12" s="117"/>
      <c r="AL12" s="118"/>
      <c r="AM12" s="91"/>
      <c r="AN12" s="11"/>
    </row>
    <row r="13" spans="2:40" ht="21.75" customHeight="1">
      <c r="B13" s="124"/>
      <c r="C13" s="124"/>
      <c r="D13" s="124"/>
      <c r="E13" s="124"/>
      <c r="F13" s="124"/>
      <c r="G13" s="124"/>
      <c r="H13" s="11"/>
      <c r="I13" s="11"/>
      <c r="J13" s="11"/>
      <c r="K13" s="11"/>
      <c r="L13" s="11"/>
      <c r="M13" s="83"/>
      <c r="N13" s="87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"/>
      <c r="Z13" s="11"/>
      <c r="AA13" s="11"/>
      <c r="AB13" s="11"/>
      <c r="AC13" s="11"/>
      <c r="AD13" s="11"/>
      <c r="AE13" s="11"/>
      <c r="AF13" s="11"/>
      <c r="AG13" s="11"/>
      <c r="AH13" s="117"/>
      <c r="AI13" s="117"/>
      <c r="AJ13" s="117"/>
      <c r="AK13" s="117"/>
      <c r="AL13" s="118"/>
      <c r="AM13" s="91"/>
      <c r="AN13" s="11"/>
    </row>
    <row r="14" spans="2:40" ht="21.75" customHeight="1">
      <c r="B14" s="124"/>
      <c r="C14" s="124"/>
      <c r="D14" s="124"/>
      <c r="E14" s="124"/>
      <c r="F14" s="124"/>
      <c r="G14" s="124"/>
      <c r="H14" s="11"/>
      <c r="I14" s="11"/>
      <c r="J14" s="11"/>
      <c r="K14" s="11"/>
      <c r="L14" s="11"/>
      <c r="M14" s="83"/>
      <c r="N14" s="87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 t="s">
        <v>78</v>
      </c>
      <c r="AC14" s="11"/>
      <c r="AD14" s="11"/>
      <c r="AE14" s="11"/>
      <c r="AF14" s="11"/>
      <c r="AG14" s="11"/>
      <c r="AH14" s="117"/>
      <c r="AI14" s="117"/>
      <c r="AJ14" s="117"/>
      <c r="AK14" s="117"/>
      <c r="AL14" s="118"/>
      <c r="AM14" s="91"/>
      <c r="AN14" s="11"/>
    </row>
    <row r="15" spans="2:40" ht="21.75" customHeight="1">
      <c r="B15" s="124"/>
      <c r="C15" s="124"/>
      <c r="D15" s="124"/>
      <c r="E15" s="124"/>
      <c r="F15" s="124"/>
      <c r="G15" s="124"/>
      <c r="H15" s="11"/>
      <c r="I15" s="11"/>
      <c r="J15" s="11"/>
      <c r="K15" s="11"/>
      <c r="L15" s="11"/>
      <c r="O15" s="87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7"/>
      <c r="AI15" s="117"/>
      <c r="AJ15" s="117"/>
      <c r="AK15" s="117"/>
      <c r="AL15" s="118"/>
      <c r="AM15" s="91"/>
      <c r="AN15" s="11"/>
    </row>
    <row r="16" spans="2:40" ht="21.75" customHeight="1">
      <c r="B16" s="124"/>
      <c r="C16" s="124"/>
      <c r="D16" s="124"/>
      <c r="E16" s="124"/>
      <c r="F16" s="124"/>
      <c r="G16" s="124"/>
      <c r="H16" s="11"/>
      <c r="I16" s="11"/>
      <c r="J16" s="11"/>
      <c r="K16" s="11"/>
      <c r="L16" s="11"/>
      <c r="M16" s="83"/>
      <c r="N16" s="87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7"/>
      <c r="AI16" s="117"/>
      <c r="AJ16" s="117"/>
      <c r="AK16" s="117"/>
      <c r="AL16" s="118"/>
      <c r="AM16" s="91"/>
      <c r="AN16" s="11"/>
    </row>
    <row r="17" spans="2:40" ht="21.75" customHeight="1">
      <c r="B17" s="124"/>
      <c r="C17" s="124"/>
      <c r="D17" s="124"/>
      <c r="E17" s="124"/>
      <c r="F17" s="124"/>
      <c r="G17" s="124"/>
      <c r="H17" s="11"/>
      <c r="I17" s="11"/>
      <c r="J17" s="11"/>
      <c r="K17" s="11"/>
      <c r="L17" s="11"/>
      <c r="M17" s="83"/>
      <c r="N17" s="88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119"/>
      <c r="AI17" s="119"/>
      <c r="AJ17" s="119"/>
      <c r="AK17" s="119"/>
      <c r="AL17" s="120"/>
      <c r="AM17" s="91"/>
      <c r="AN17" s="11"/>
    </row>
    <row r="18" spans="2:40" ht="21.75" customHeight="1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11"/>
      <c r="AN18" s="11"/>
    </row>
    <row r="19" spans="2:40" ht="21.75" customHeight="1">
      <c r="B19" s="11"/>
      <c r="C19" s="11"/>
      <c r="D19" s="11"/>
      <c r="E19" s="11"/>
      <c r="F19" s="11"/>
      <c r="G19" s="11"/>
      <c r="H19" s="11"/>
      <c r="I19" s="111" t="s">
        <v>79</v>
      </c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I19" s="11"/>
      <c r="AJ19" s="11"/>
      <c r="AK19" s="11"/>
      <c r="AL19" s="11"/>
      <c r="AM19" s="11"/>
      <c r="AN19" s="11"/>
    </row>
    <row r="20" spans="2:40" ht="21.75" customHeight="1">
      <c r="B20" s="11"/>
      <c r="C20" s="11"/>
      <c r="D20" s="11"/>
      <c r="E20" s="11"/>
      <c r="F20" s="11"/>
      <c r="G20" s="11"/>
      <c r="H20" s="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2:40" ht="21.75" customHeight="1">
      <c r="B21" s="11"/>
      <c r="C21" s="11"/>
      <c r="D21" s="11"/>
      <c r="E21" s="11"/>
      <c r="F21" s="11"/>
      <c r="G21" s="11"/>
      <c r="H21" s="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"/>
      <c r="W21" s="11"/>
      <c r="X21" s="11"/>
      <c r="Y21" s="109" t="s">
        <v>80</v>
      </c>
      <c r="Z21" s="109"/>
      <c r="AA21" s="109"/>
      <c r="AB21" s="109"/>
      <c r="AC21" s="109"/>
      <c r="AD21" s="109"/>
      <c r="AE21" s="109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2:40" ht="21.75" customHeight="1">
      <c r="B22" s="11"/>
      <c r="C22" s="11"/>
      <c r="D22" s="11"/>
      <c r="E22" s="11"/>
      <c r="F22" s="11"/>
      <c r="G22" s="11"/>
      <c r="H22" s="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2:40" ht="21.75" customHeight="1">
      <c r="B23" s="11"/>
      <c r="C23" s="11"/>
      <c r="D23" s="11"/>
      <c r="E23" s="11"/>
      <c r="F23" s="11"/>
      <c r="G23" s="11"/>
      <c r="H23" s="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2:40" ht="21.75" customHeight="1">
      <c r="B24" s="11"/>
      <c r="C24" s="11"/>
      <c r="D24" s="11"/>
      <c r="E24" s="11"/>
      <c r="F24" s="11"/>
      <c r="G24" s="11"/>
      <c r="H24" s="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2:40" ht="21.75" customHeight="1"/>
    <row r="26" spans="2:40" ht="21.75" customHeight="1"/>
    <row r="27" spans="2:40" ht="21.75" customHeight="1">
      <c r="B27" s="98" t="s">
        <v>81</v>
      </c>
      <c r="C27" s="98"/>
      <c r="D27" s="98"/>
      <c r="E27" s="98"/>
      <c r="F27" s="98"/>
      <c r="G27" s="98"/>
      <c r="H27" s="98"/>
      <c r="I27" s="98"/>
      <c r="J27" s="98"/>
    </row>
    <row r="28" spans="2:40" ht="21.75" customHeight="1">
      <c r="B28" s="134"/>
      <c r="C28" s="134"/>
      <c r="D28" s="107" t="s">
        <v>82</v>
      </c>
      <c r="E28" s="107"/>
      <c r="F28" s="107"/>
      <c r="G28" s="107"/>
      <c r="H28" s="107"/>
      <c r="I28" s="108">
        <v>576</v>
      </c>
      <c r="J28" s="108"/>
      <c r="K28" s="12" t="s">
        <v>83</v>
      </c>
    </row>
    <row r="29" spans="2:40" ht="21.75" customHeight="1">
      <c r="B29" s="135"/>
      <c r="C29" s="135"/>
      <c r="D29" s="107" t="s">
        <v>84</v>
      </c>
      <c r="E29" s="107"/>
      <c r="F29" s="107"/>
      <c r="G29" s="107"/>
      <c r="H29" s="107"/>
      <c r="I29" s="108">
        <v>200</v>
      </c>
      <c r="J29" s="108"/>
      <c r="K29" s="12" t="s">
        <v>83</v>
      </c>
    </row>
    <row r="30" spans="2:40" ht="21.75" customHeight="1">
      <c r="B30" s="136"/>
      <c r="C30" s="136"/>
      <c r="D30" s="107" t="s">
        <v>85</v>
      </c>
      <c r="E30" s="107"/>
      <c r="F30" s="107"/>
      <c r="G30" s="107"/>
      <c r="H30" s="107"/>
      <c r="I30" s="108">
        <v>100</v>
      </c>
      <c r="J30" s="108"/>
      <c r="K30" s="12" t="s">
        <v>83</v>
      </c>
    </row>
    <row r="31" spans="2:40" ht="21.75" customHeight="1">
      <c r="B31" s="137"/>
      <c r="C31" s="137"/>
      <c r="D31" s="107" t="s">
        <v>86</v>
      </c>
      <c r="E31" s="107"/>
      <c r="F31" s="107"/>
      <c r="G31" s="107"/>
      <c r="H31" s="107"/>
      <c r="I31" s="108">
        <v>625</v>
      </c>
      <c r="J31" s="108"/>
      <c r="K31" s="12" t="s">
        <v>83</v>
      </c>
    </row>
    <row r="32" spans="2:40" ht="21.75" customHeight="1">
      <c r="B32" s="138"/>
      <c r="C32" s="138"/>
      <c r="D32" s="107" t="s">
        <v>87</v>
      </c>
      <c r="E32" s="107"/>
      <c r="F32" s="107"/>
      <c r="G32" s="107"/>
      <c r="H32" s="107"/>
      <c r="I32" s="108">
        <v>704</v>
      </c>
      <c r="J32" s="108"/>
      <c r="K32" s="12" t="s">
        <v>83</v>
      </c>
    </row>
    <row r="33" spans="2:20" ht="21.75" customHeight="1">
      <c r="B33" s="139"/>
      <c r="C33" s="139"/>
      <c r="D33" s="107" t="s">
        <v>88</v>
      </c>
      <c r="E33" s="107"/>
      <c r="F33" s="107"/>
      <c r="G33" s="107"/>
      <c r="H33" s="107"/>
      <c r="I33" s="108">
        <v>200</v>
      </c>
      <c r="J33" s="108"/>
      <c r="K33" s="12" t="s">
        <v>83</v>
      </c>
    </row>
    <row r="34" spans="2:20" ht="21.75" customHeight="1">
      <c r="B34" s="140"/>
      <c r="C34" s="140"/>
      <c r="D34" s="107" t="s">
        <v>89</v>
      </c>
      <c r="E34" s="107"/>
      <c r="F34" s="107"/>
      <c r="G34" s="107"/>
      <c r="H34" s="107"/>
      <c r="I34" s="108">
        <v>225</v>
      </c>
      <c r="J34" s="108"/>
      <c r="K34" s="12" t="s">
        <v>83</v>
      </c>
    </row>
    <row r="35" spans="2:20" ht="21.75" customHeight="1">
      <c r="B35" s="141"/>
      <c r="C35" s="141"/>
      <c r="D35" s="107" t="s">
        <v>90</v>
      </c>
      <c r="E35" s="107"/>
      <c r="F35" s="107"/>
      <c r="G35" s="107"/>
      <c r="H35" s="107"/>
      <c r="I35" s="108">
        <v>1250</v>
      </c>
      <c r="J35" s="108"/>
      <c r="K35" s="12" t="s">
        <v>83</v>
      </c>
    </row>
    <row r="36" spans="2:20" ht="21.75" customHeight="1">
      <c r="B36" s="142"/>
      <c r="C36" s="142"/>
      <c r="D36" s="107" t="s">
        <v>91</v>
      </c>
      <c r="E36" s="107"/>
      <c r="F36" s="107"/>
      <c r="G36" s="107"/>
      <c r="H36" s="107"/>
      <c r="I36" s="108">
        <v>1000</v>
      </c>
      <c r="J36" s="108"/>
      <c r="K36" s="12" t="s">
        <v>83</v>
      </c>
    </row>
    <row r="37" spans="2:20" ht="21.75" customHeight="1">
      <c r="B37" s="103" t="s">
        <v>92</v>
      </c>
      <c r="C37" s="103"/>
      <c r="D37" s="103"/>
      <c r="E37" s="103"/>
      <c r="F37" s="103"/>
      <c r="G37" s="103"/>
      <c r="H37" s="103"/>
      <c r="I37" s="104">
        <f>SUM(I28:I36)</f>
        <v>4880</v>
      </c>
      <c r="J37" s="104"/>
      <c r="K37" s="13" t="s">
        <v>83</v>
      </c>
    </row>
    <row r="38" spans="2:20" ht="21.75" customHeight="1">
      <c r="B38" s="93" t="s">
        <v>93</v>
      </c>
      <c r="C38" s="93"/>
      <c r="D38" s="93"/>
      <c r="E38" s="93"/>
      <c r="F38" s="93"/>
      <c r="G38" s="93"/>
      <c r="H38" s="93"/>
      <c r="I38" s="105">
        <f>12000-I37</f>
        <v>7120</v>
      </c>
      <c r="J38" s="105"/>
      <c r="K38" s="12" t="s">
        <v>83</v>
      </c>
    </row>
    <row r="39" spans="2:20" ht="21.75" customHeight="1">
      <c r="B39" s="97" t="s">
        <v>94</v>
      </c>
      <c r="C39" s="97"/>
      <c r="D39" s="97"/>
      <c r="E39" s="97"/>
      <c r="F39" s="97"/>
      <c r="G39" s="97"/>
      <c r="H39" s="97"/>
      <c r="I39" s="106">
        <v>12000</v>
      </c>
      <c r="J39" s="106"/>
      <c r="K39" s="14" t="s">
        <v>83</v>
      </c>
    </row>
    <row r="40" spans="2:20" ht="21.75" customHeight="1"/>
    <row r="41" spans="2:20" ht="21.75" customHeight="1">
      <c r="B41" s="102" t="s">
        <v>95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</row>
    <row r="42" spans="2:20" ht="21.75" customHeight="1"/>
    <row r="43" spans="2:20" ht="21.75" customHeight="1"/>
    <row r="44" spans="2:20" ht="21.75" customHeight="1"/>
    <row r="45" spans="2:20" ht="21.75" customHeight="1"/>
    <row r="46" spans="2:20" ht="21.75" customHeight="1"/>
    <row r="47" spans="2:20" ht="21.75" customHeight="1"/>
    <row r="48" spans="2:20" ht="21.75" customHeight="1"/>
    <row r="49" ht="21.75" customHeight="1"/>
  </sheetData>
  <mergeCells count="57">
    <mergeCell ref="B2:AM2"/>
    <mergeCell ref="B3:AM3"/>
    <mergeCell ref="B5:G10"/>
    <mergeCell ref="I5:M7"/>
    <mergeCell ref="AH5:AL17"/>
    <mergeCell ref="O6:P7"/>
    <mergeCell ref="Q6:R7"/>
    <mergeCell ref="S6:T7"/>
    <mergeCell ref="U6:V7"/>
    <mergeCell ref="W6:X7"/>
    <mergeCell ref="Y6:Z7"/>
    <mergeCell ref="I8:K10"/>
    <mergeCell ref="O9:Z10"/>
    <mergeCell ref="AB9:AE12"/>
    <mergeCell ref="B12:G17"/>
    <mergeCell ref="O12:P13"/>
    <mergeCell ref="Q12:R13"/>
    <mergeCell ref="S12:T13"/>
    <mergeCell ref="U12:V13"/>
    <mergeCell ref="W12:X13"/>
    <mergeCell ref="I19:U24"/>
    <mergeCell ref="Y21:AE21"/>
    <mergeCell ref="B27:J27"/>
    <mergeCell ref="B28:C28"/>
    <mergeCell ref="D28:H28"/>
    <mergeCell ref="I28:J28"/>
    <mergeCell ref="B29:C29"/>
    <mergeCell ref="D29:H29"/>
    <mergeCell ref="I29:J29"/>
    <mergeCell ref="B30:C30"/>
    <mergeCell ref="D30:H30"/>
    <mergeCell ref="I30:J30"/>
    <mergeCell ref="B31:C31"/>
    <mergeCell ref="D31:H31"/>
    <mergeCell ref="I31:J31"/>
    <mergeCell ref="B32:C32"/>
    <mergeCell ref="D32:H32"/>
    <mergeCell ref="I32:J32"/>
    <mergeCell ref="B33:C33"/>
    <mergeCell ref="D33:H33"/>
    <mergeCell ref="I33:J33"/>
    <mergeCell ref="B34:C34"/>
    <mergeCell ref="D34:H34"/>
    <mergeCell ref="I34:J34"/>
    <mergeCell ref="B35:C35"/>
    <mergeCell ref="D35:H35"/>
    <mergeCell ref="I35:J35"/>
    <mergeCell ref="B36:C36"/>
    <mergeCell ref="D36:H36"/>
    <mergeCell ref="I36:J36"/>
    <mergeCell ref="B41:T41"/>
    <mergeCell ref="B37:H37"/>
    <mergeCell ref="I37:J37"/>
    <mergeCell ref="B38:H38"/>
    <mergeCell ref="I38:J38"/>
    <mergeCell ref="B39:H39"/>
    <mergeCell ref="I39:J39"/>
  </mergeCells>
  <printOptions horizontalCentered="1" verticalCentered="1"/>
  <pageMargins left="0.4" right="0.4" top="0.5" bottom="0.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G17"/>
  <sheetViews>
    <sheetView showGridLines="0" zoomScale="136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4.25"/>
  <cols>
    <col min="1" max="1" width="3" customWidth="1"/>
    <col min="2" max="2" width="32" customWidth="1"/>
    <col min="3" max="4" width="14" customWidth="1"/>
    <col min="5" max="6" width="16" customWidth="1"/>
    <col min="7" max="7" width="50" customWidth="1"/>
  </cols>
  <sheetData>
    <row r="2" spans="2:7" ht="27.75" customHeight="1">
      <c r="B2" s="92" t="s">
        <v>96</v>
      </c>
      <c r="C2" s="92"/>
      <c r="D2" s="92"/>
      <c r="E2" s="92"/>
      <c r="F2" s="92"/>
      <c r="G2" s="92"/>
    </row>
    <row r="3" spans="2:7">
      <c r="B3" s="93" t="s">
        <v>97</v>
      </c>
      <c r="C3" s="93"/>
      <c r="D3" s="93"/>
      <c r="E3" s="93"/>
      <c r="F3" s="93"/>
      <c r="G3" s="93"/>
    </row>
    <row r="5" spans="2:7" ht="24" customHeight="1">
      <c r="B5" s="15" t="s">
        <v>98</v>
      </c>
      <c r="C5" s="15" t="s">
        <v>99</v>
      </c>
      <c r="D5" s="15" t="s">
        <v>100</v>
      </c>
      <c r="E5" s="15" t="s">
        <v>101</v>
      </c>
      <c r="F5" s="15" t="s">
        <v>102</v>
      </c>
      <c r="G5" s="15" t="s">
        <v>103</v>
      </c>
    </row>
    <row r="6" spans="2:7">
      <c r="B6" s="16" t="s">
        <v>82</v>
      </c>
      <c r="C6" s="17">
        <v>24</v>
      </c>
      <c r="D6" s="17">
        <v>24</v>
      </c>
      <c r="E6" s="18">
        <v>576</v>
      </c>
      <c r="F6" s="19">
        <f t="shared" ref="F6:F16" si="0">E6/$E$17</f>
        <v>4.8000000000000001E-2</v>
      </c>
      <c r="G6" s="20" t="s">
        <v>104</v>
      </c>
    </row>
    <row r="7" spans="2:7">
      <c r="B7" s="16" t="s">
        <v>105</v>
      </c>
      <c r="C7" s="17">
        <v>20</v>
      </c>
      <c r="D7" s="17">
        <v>10</v>
      </c>
      <c r="E7" s="18">
        <v>200</v>
      </c>
      <c r="F7" s="19">
        <f t="shared" si="0"/>
        <v>1.6666666666666666E-2</v>
      </c>
      <c r="G7" s="20" t="s">
        <v>106</v>
      </c>
    </row>
    <row r="8" spans="2:7">
      <c r="B8" s="16" t="s">
        <v>107</v>
      </c>
      <c r="C8" s="17">
        <v>10</v>
      </c>
      <c r="D8" s="17">
        <v>10</v>
      </c>
      <c r="E8" s="18">
        <v>100</v>
      </c>
      <c r="F8" s="19">
        <f t="shared" si="0"/>
        <v>8.3333333333333332E-3</v>
      </c>
      <c r="G8" s="20" t="s">
        <v>108</v>
      </c>
    </row>
    <row r="9" spans="2:7">
      <c r="B9" s="16" t="s">
        <v>109</v>
      </c>
      <c r="C9" s="17">
        <v>25</v>
      </c>
      <c r="D9" s="17">
        <v>25</v>
      </c>
      <c r="E9" s="18">
        <v>625</v>
      </c>
      <c r="F9" s="19">
        <f t="shared" si="0"/>
        <v>5.2083333333333336E-2</v>
      </c>
      <c r="G9" s="20" t="s">
        <v>110</v>
      </c>
    </row>
    <row r="10" spans="2:7">
      <c r="B10" s="16" t="s">
        <v>87</v>
      </c>
      <c r="C10" s="17" t="s">
        <v>111</v>
      </c>
      <c r="D10" s="17" t="s">
        <v>111</v>
      </c>
      <c r="E10" s="18">
        <v>704</v>
      </c>
      <c r="F10" s="19">
        <f t="shared" si="0"/>
        <v>5.8666666666666666E-2</v>
      </c>
      <c r="G10" s="20" t="s">
        <v>112</v>
      </c>
    </row>
    <row r="11" spans="2:7">
      <c r="B11" s="16" t="s">
        <v>113</v>
      </c>
      <c r="C11" s="17">
        <v>40</v>
      </c>
      <c r="D11" s="17">
        <v>5</v>
      </c>
      <c r="E11" s="18">
        <v>200</v>
      </c>
      <c r="F11" s="19">
        <f t="shared" si="0"/>
        <v>1.6666666666666666E-2</v>
      </c>
      <c r="G11" s="20" t="s">
        <v>114</v>
      </c>
    </row>
    <row r="12" spans="2:7">
      <c r="B12" s="16" t="s">
        <v>115</v>
      </c>
      <c r="C12" s="17">
        <v>15</v>
      </c>
      <c r="D12" s="17">
        <v>15</v>
      </c>
      <c r="E12" s="18">
        <v>225</v>
      </c>
      <c r="F12" s="19">
        <f t="shared" si="0"/>
        <v>1.8749999999999999E-2</v>
      </c>
      <c r="G12" s="20" t="s">
        <v>116</v>
      </c>
    </row>
    <row r="13" spans="2:7">
      <c r="B13" s="16" t="s">
        <v>117</v>
      </c>
      <c r="C13" s="17">
        <v>50</v>
      </c>
      <c r="D13" s="17">
        <v>25</v>
      </c>
      <c r="E13" s="18">
        <v>1250</v>
      </c>
      <c r="F13" s="19">
        <f t="shared" si="0"/>
        <v>0.10416666666666667</v>
      </c>
      <c r="G13" s="20" t="s">
        <v>118</v>
      </c>
    </row>
    <row r="14" spans="2:7">
      <c r="B14" s="16" t="s">
        <v>119</v>
      </c>
      <c r="C14" s="17">
        <v>50</v>
      </c>
      <c r="D14" s="17">
        <v>20</v>
      </c>
      <c r="E14" s="18">
        <v>1000</v>
      </c>
      <c r="F14" s="19">
        <f t="shared" si="0"/>
        <v>8.3333333333333329E-2</v>
      </c>
      <c r="G14" s="20" t="s">
        <v>120</v>
      </c>
    </row>
    <row r="15" spans="2:7">
      <c r="B15" s="21" t="s">
        <v>121</v>
      </c>
      <c r="C15" s="22"/>
      <c r="D15" s="22"/>
      <c r="E15" s="23">
        <f>SUM(E6:E14)</f>
        <v>4880</v>
      </c>
      <c r="F15" s="24">
        <f t="shared" si="0"/>
        <v>0.40666666666666668</v>
      </c>
      <c r="G15" s="22"/>
    </row>
    <row r="16" spans="2:7">
      <c r="B16" s="25" t="s">
        <v>122</v>
      </c>
      <c r="C16" s="26"/>
      <c r="D16" s="26"/>
      <c r="E16" s="27">
        <f>E17-E15</f>
        <v>7120</v>
      </c>
      <c r="F16" s="28">
        <f t="shared" si="0"/>
        <v>0.59333333333333338</v>
      </c>
      <c r="G16" s="29" t="s">
        <v>123</v>
      </c>
    </row>
    <row r="17" spans="2:7">
      <c r="B17" s="30" t="s">
        <v>124</v>
      </c>
      <c r="C17" s="31">
        <v>150</v>
      </c>
      <c r="D17" s="31">
        <v>80</v>
      </c>
      <c r="E17" s="32">
        <v>12000</v>
      </c>
      <c r="F17" s="33">
        <v>1</v>
      </c>
      <c r="G17" s="34"/>
    </row>
  </sheetData>
  <mergeCells count="2">
    <mergeCell ref="B2:G2"/>
    <mergeCell ref="B3:G3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G17"/>
  <sheetViews>
    <sheetView showGridLines="0" zoomScale="146" zoomScaleNormal="100" workbookViewId="0">
      <pane xSplit="1" ySplit="5" topLeftCell="B6" activePane="bottomRight" state="frozen"/>
      <selection pane="bottomRight" activeCell="H15" sqref="H15"/>
      <selection pane="bottomLeft" activeCell="A6" sqref="A6"/>
      <selection pane="topRight" activeCell="B1" sqref="B1"/>
    </sheetView>
  </sheetViews>
  <sheetFormatPr defaultColWidth="8.7109375" defaultRowHeight="14.25"/>
  <cols>
    <col min="1" max="1" width="3" customWidth="1"/>
    <col min="2" max="2" width="11" customWidth="1"/>
    <col min="3" max="3" width="24" customWidth="1"/>
    <col min="4" max="5" width="16" customWidth="1"/>
    <col min="6" max="6" width="11" customWidth="1"/>
    <col min="7" max="7" width="48" customWidth="1"/>
  </cols>
  <sheetData>
    <row r="2" spans="2:7" ht="27.75" customHeight="1">
      <c r="B2" s="92" t="s">
        <v>125</v>
      </c>
      <c r="C2" s="92"/>
      <c r="D2" s="92"/>
      <c r="E2" s="92"/>
      <c r="F2" s="92"/>
      <c r="G2" s="92"/>
    </row>
    <row r="3" spans="2:7">
      <c r="B3" s="93" t="s">
        <v>126</v>
      </c>
      <c r="C3" s="93"/>
      <c r="D3" s="93"/>
      <c r="E3" s="93"/>
      <c r="F3" s="93"/>
      <c r="G3" s="93"/>
    </row>
    <row r="5" spans="2:7" ht="24" customHeight="1">
      <c r="B5" s="35" t="s">
        <v>127</v>
      </c>
      <c r="C5" s="35" t="s">
        <v>128</v>
      </c>
      <c r="D5" s="35" t="s">
        <v>129</v>
      </c>
      <c r="E5" s="35" t="s">
        <v>130</v>
      </c>
      <c r="F5" s="35" t="s">
        <v>131</v>
      </c>
      <c r="G5" s="35" t="s">
        <v>103</v>
      </c>
    </row>
    <row r="6" spans="2:7">
      <c r="B6" s="36" t="s">
        <v>132</v>
      </c>
      <c r="C6" s="16" t="s">
        <v>133</v>
      </c>
      <c r="D6" s="37" t="s">
        <v>134</v>
      </c>
      <c r="E6" s="38" t="s">
        <v>135</v>
      </c>
      <c r="F6" s="39">
        <v>1</v>
      </c>
      <c r="G6" s="29" t="s">
        <v>136</v>
      </c>
    </row>
    <row r="7" spans="2:7">
      <c r="B7" s="36" t="s">
        <v>137</v>
      </c>
      <c r="C7" s="16" t="s">
        <v>138</v>
      </c>
      <c r="D7" s="37" t="s">
        <v>134</v>
      </c>
      <c r="E7" s="38" t="s">
        <v>135</v>
      </c>
      <c r="F7" s="39">
        <v>1</v>
      </c>
      <c r="G7" s="29" t="s">
        <v>139</v>
      </c>
    </row>
    <row r="8" spans="2:7">
      <c r="B8" s="36" t="s">
        <v>140</v>
      </c>
      <c r="C8" s="16" t="s">
        <v>141</v>
      </c>
      <c r="D8" s="37" t="s">
        <v>142</v>
      </c>
      <c r="E8" s="38" t="s">
        <v>135</v>
      </c>
      <c r="F8" s="39">
        <v>1</v>
      </c>
      <c r="G8" s="29"/>
    </row>
    <row r="9" spans="2:7">
      <c r="B9" s="36" t="s">
        <v>143</v>
      </c>
      <c r="C9" s="16" t="s">
        <v>144</v>
      </c>
      <c r="D9" s="37" t="s">
        <v>145</v>
      </c>
      <c r="E9" s="40" t="s">
        <v>146</v>
      </c>
      <c r="F9" s="39">
        <v>1</v>
      </c>
      <c r="G9" s="29" t="s">
        <v>147</v>
      </c>
    </row>
    <row r="10" spans="2:7">
      <c r="B10" s="36" t="s">
        <v>148</v>
      </c>
      <c r="C10" s="16" t="s">
        <v>149</v>
      </c>
      <c r="D10" s="37" t="s">
        <v>145</v>
      </c>
      <c r="E10" s="38" t="s">
        <v>135</v>
      </c>
      <c r="F10" s="39">
        <v>1</v>
      </c>
      <c r="G10" s="29" t="s">
        <v>150</v>
      </c>
    </row>
    <row r="11" spans="2:7">
      <c r="B11" s="36" t="s">
        <v>151</v>
      </c>
      <c r="C11" s="16" t="s">
        <v>152</v>
      </c>
      <c r="D11" s="37" t="s">
        <v>153</v>
      </c>
      <c r="E11" s="38" t="s">
        <v>135</v>
      </c>
      <c r="F11" s="39">
        <v>1</v>
      </c>
      <c r="G11" s="29" t="s">
        <v>154</v>
      </c>
    </row>
    <row r="12" spans="2:7">
      <c r="B12" s="36" t="s">
        <v>155</v>
      </c>
      <c r="C12" s="16" t="s">
        <v>156</v>
      </c>
      <c r="D12" s="37" t="s">
        <v>153</v>
      </c>
      <c r="E12" s="38" t="s">
        <v>135</v>
      </c>
      <c r="F12" s="39">
        <v>1</v>
      </c>
      <c r="G12" s="29" t="s">
        <v>157</v>
      </c>
    </row>
    <row r="13" spans="2:7">
      <c r="B13" s="36" t="s">
        <v>158</v>
      </c>
      <c r="C13" s="16" t="s">
        <v>159</v>
      </c>
      <c r="D13" s="37" t="s">
        <v>153</v>
      </c>
      <c r="E13" s="38" t="s">
        <v>135</v>
      </c>
      <c r="F13" s="39">
        <v>1</v>
      </c>
      <c r="G13" s="29" t="s">
        <v>157</v>
      </c>
    </row>
    <row r="14" spans="2:7">
      <c r="B14" s="36" t="s">
        <v>160</v>
      </c>
      <c r="C14" s="16" t="s">
        <v>161</v>
      </c>
      <c r="D14" s="37" t="s">
        <v>162</v>
      </c>
      <c r="E14" s="38" t="s">
        <v>135</v>
      </c>
      <c r="F14" s="39">
        <v>1</v>
      </c>
      <c r="G14" s="29"/>
    </row>
    <row r="15" spans="2:7">
      <c r="B15" s="36" t="s">
        <v>163</v>
      </c>
      <c r="C15" s="16" t="s">
        <v>164</v>
      </c>
      <c r="D15" s="37" t="s">
        <v>162</v>
      </c>
      <c r="E15" s="40" t="s">
        <v>146</v>
      </c>
      <c r="F15" s="39">
        <v>2</v>
      </c>
      <c r="G15" s="29" t="s">
        <v>165</v>
      </c>
    </row>
    <row r="16" spans="2:7">
      <c r="B16" s="36" t="s">
        <v>166</v>
      </c>
      <c r="C16" s="16" t="s">
        <v>167</v>
      </c>
      <c r="D16" s="37" t="s">
        <v>168</v>
      </c>
      <c r="E16" s="38" t="s">
        <v>135</v>
      </c>
      <c r="F16" s="39">
        <v>1</v>
      </c>
      <c r="G16" s="29" t="s">
        <v>169</v>
      </c>
    </row>
    <row r="17" spans="2:7">
      <c r="B17" s="30" t="s">
        <v>170</v>
      </c>
      <c r="C17" s="34"/>
      <c r="D17" s="34"/>
      <c r="E17" s="34"/>
      <c r="F17" s="32">
        <f>SUM(F6:F16)</f>
        <v>12</v>
      </c>
      <c r="G17" s="41" t="s">
        <v>171</v>
      </c>
    </row>
  </sheetData>
  <mergeCells count="2">
    <mergeCell ref="B2:G2"/>
    <mergeCell ref="B3:G3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G19"/>
  <sheetViews>
    <sheetView showGridLines="0" zoomScale="144" zoomScaleNormal="100" workbookViewId="0">
      <pane xSplit="1" ySplit="5" topLeftCell="B9" activePane="bottomRight" state="frozen"/>
      <selection pane="bottomRight" activeCell="D11" sqref="D11"/>
      <selection pane="bottomLeft" activeCell="A6" sqref="A6"/>
      <selection pane="topRight" activeCell="B1" sqref="B1"/>
    </sheetView>
  </sheetViews>
  <sheetFormatPr defaultColWidth="8.7109375" defaultRowHeight="14.25"/>
  <cols>
    <col min="1" max="1" width="3" customWidth="1"/>
    <col min="2" max="2" width="11" customWidth="1"/>
    <col min="3" max="3" width="35" customWidth="1"/>
    <col min="4" max="5" width="16" customWidth="1"/>
    <col min="6" max="6" width="13" customWidth="1"/>
    <col min="7" max="7" width="36" customWidth="1"/>
  </cols>
  <sheetData>
    <row r="2" spans="2:7" ht="27.75" customHeight="1">
      <c r="B2" s="92" t="s">
        <v>172</v>
      </c>
      <c r="C2" s="92"/>
      <c r="D2" s="92"/>
      <c r="E2" s="92"/>
      <c r="F2" s="92"/>
      <c r="G2" s="92"/>
    </row>
    <row r="3" spans="2:7">
      <c r="B3" s="93" t="s">
        <v>173</v>
      </c>
      <c r="C3" s="93"/>
      <c r="D3" s="93"/>
      <c r="E3" s="93"/>
      <c r="F3" s="93"/>
      <c r="G3" s="93"/>
    </row>
    <row r="5" spans="2:7" ht="24" customHeight="1">
      <c r="B5" s="35" t="s">
        <v>127</v>
      </c>
      <c r="C5" s="35" t="s">
        <v>174</v>
      </c>
      <c r="D5" s="35" t="s">
        <v>130</v>
      </c>
      <c r="E5" s="35" t="s">
        <v>175</v>
      </c>
      <c r="F5" s="35" t="s">
        <v>176</v>
      </c>
      <c r="G5" s="35" t="s">
        <v>103</v>
      </c>
    </row>
    <row r="6" spans="2:7">
      <c r="B6" s="36" t="s">
        <v>134</v>
      </c>
      <c r="C6" s="16" t="s">
        <v>177</v>
      </c>
      <c r="D6" s="38" t="s">
        <v>135</v>
      </c>
      <c r="E6" s="16" t="s">
        <v>178</v>
      </c>
      <c r="F6" s="42" t="s">
        <v>179</v>
      </c>
      <c r="G6" s="29" t="s">
        <v>180</v>
      </c>
    </row>
    <row r="7" spans="2:7">
      <c r="B7" s="36" t="s">
        <v>142</v>
      </c>
      <c r="C7" s="16" t="s">
        <v>181</v>
      </c>
      <c r="D7" s="38" t="s">
        <v>135</v>
      </c>
      <c r="E7" s="16" t="s">
        <v>140</v>
      </c>
      <c r="F7" s="42" t="s">
        <v>179</v>
      </c>
      <c r="G7" s="29" t="s">
        <v>182</v>
      </c>
    </row>
    <row r="8" spans="2:7">
      <c r="B8" s="36" t="s">
        <v>145</v>
      </c>
      <c r="C8" s="16" t="s">
        <v>183</v>
      </c>
      <c r="D8" s="38" t="s">
        <v>135</v>
      </c>
      <c r="E8" s="16" t="s">
        <v>184</v>
      </c>
      <c r="F8" s="42" t="s">
        <v>185</v>
      </c>
      <c r="G8" s="29" t="s">
        <v>186</v>
      </c>
    </row>
    <row r="9" spans="2:7">
      <c r="B9" s="36" t="s">
        <v>153</v>
      </c>
      <c r="C9" s="16" t="s">
        <v>187</v>
      </c>
      <c r="D9" s="40" t="s">
        <v>146</v>
      </c>
      <c r="E9" s="16" t="s">
        <v>188</v>
      </c>
      <c r="F9" s="42" t="s">
        <v>189</v>
      </c>
      <c r="G9" s="29" t="s">
        <v>190</v>
      </c>
    </row>
    <row r="10" spans="2:7">
      <c r="B10" s="36" t="s">
        <v>162</v>
      </c>
      <c r="C10" s="16" t="s">
        <v>191</v>
      </c>
      <c r="D10" s="38" t="s">
        <v>135</v>
      </c>
      <c r="E10" s="16" t="s">
        <v>192</v>
      </c>
      <c r="F10" s="42" t="s">
        <v>185</v>
      </c>
      <c r="G10" s="29" t="s">
        <v>193</v>
      </c>
    </row>
    <row r="11" spans="2:7">
      <c r="B11" s="36" t="s">
        <v>168</v>
      </c>
      <c r="C11" s="16" t="s">
        <v>194</v>
      </c>
      <c r="D11" s="43" t="s">
        <v>195</v>
      </c>
      <c r="E11" s="16" t="s">
        <v>166</v>
      </c>
      <c r="F11" s="42" t="s">
        <v>196</v>
      </c>
      <c r="G11" s="29" t="s">
        <v>197</v>
      </c>
    </row>
    <row r="13" spans="2:7" ht="21.75" customHeight="1">
      <c r="B13" s="98" t="s">
        <v>198</v>
      </c>
      <c r="C13" s="98"/>
      <c r="D13" s="98"/>
      <c r="E13" s="98"/>
      <c r="F13" s="98"/>
      <c r="G13" s="98"/>
    </row>
    <row r="14" spans="2:7">
      <c r="B14" s="44" t="s">
        <v>176</v>
      </c>
      <c r="C14" s="44" t="s">
        <v>130</v>
      </c>
      <c r="D14" s="44" t="s">
        <v>199</v>
      </c>
    </row>
    <row r="15" spans="2:7" ht="26.25">
      <c r="B15" s="42" t="s">
        <v>179</v>
      </c>
      <c r="C15" s="38" t="s">
        <v>135</v>
      </c>
      <c r="D15" s="16" t="s">
        <v>200</v>
      </c>
    </row>
    <row r="16" spans="2:7" ht="26.25">
      <c r="B16" s="42" t="s">
        <v>185</v>
      </c>
      <c r="C16" s="38" t="s">
        <v>135</v>
      </c>
      <c r="D16" s="16" t="s">
        <v>201</v>
      </c>
    </row>
    <row r="17" spans="2:4" ht="39.4">
      <c r="B17" s="42" t="s">
        <v>189</v>
      </c>
      <c r="C17" s="40" t="s">
        <v>146</v>
      </c>
      <c r="D17" s="16" t="s">
        <v>202</v>
      </c>
    </row>
    <row r="18" spans="2:4" ht="26.25">
      <c r="B18" s="42" t="s">
        <v>196</v>
      </c>
      <c r="C18" s="43" t="s">
        <v>195</v>
      </c>
      <c r="D18" s="16" t="s">
        <v>203</v>
      </c>
    </row>
    <row r="19" spans="2:4" ht="28.5">
      <c r="B19" s="30" t="s">
        <v>204</v>
      </c>
      <c r="C19" s="45" t="s">
        <v>111</v>
      </c>
      <c r="D19" s="46" t="s">
        <v>205</v>
      </c>
    </row>
  </sheetData>
  <mergeCells count="3">
    <mergeCell ref="B2:G2"/>
    <mergeCell ref="B3:G3"/>
    <mergeCell ref="B13:G13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47"/>
  <sheetViews>
    <sheetView showGridLines="0" zoomScaleNormal="100" workbookViewId="0">
      <pane xSplit="1" ySplit="5" topLeftCell="B6" activePane="bottomRight" state="frozen"/>
      <selection pane="bottomRight" activeCell="E44" sqref="E44"/>
      <selection pane="bottomLeft" activeCell="A6" sqref="A6"/>
      <selection pane="topRight" activeCell="B1" sqref="B1"/>
    </sheetView>
  </sheetViews>
  <sheetFormatPr defaultColWidth="8.7109375" defaultRowHeight="14.25"/>
  <cols>
    <col min="1" max="1" width="3" customWidth="1"/>
    <col min="2" max="2" width="12" customWidth="1"/>
    <col min="3" max="3" width="36" customWidth="1"/>
    <col min="4" max="4" width="16" customWidth="1"/>
    <col min="5" max="5" width="11" customWidth="1"/>
    <col min="6" max="6" width="44" customWidth="1"/>
  </cols>
  <sheetData>
    <row r="2" spans="2:7" ht="27.75" customHeight="1">
      <c r="B2" s="92" t="s">
        <v>206</v>
      </c>
      <c r="C2" s="92"/>
      <c r="D2" s="92"/>
      <c r="E2" s="92"/>
      <c r="F2" s="92"/>
    </row>
    <row r="3" spans="2:7">
      <c r="B3" s="93" t="s">
        <v>207</v>
      </c>
      <c r="C3" s="93"/>
      <c r="D3" s="93"/>
      <c r="E3" s="93"/>
      <c r="F3" s="93"/>
    </row>
    <row r="5" spans="2:7" ht="24" customHeight="1">
      <c r="B5" s="35" t="s">
        <v>208</v>
      </c>
      <c r="C5" s="35" t="s">
        <v>209</v>
      </c>
      <c r="D5" s="35" t="s">
        <v>130</v>
      </c>
      <c r="E5" s="35" t="s">
        <v>210</v>
      </c>
      <c r="F5" s="35" t="s">
        <v>103</v>
      </c>
    </row>
    <row r="6" spans="2:7" ht="21.75" customHeight="1">
      <c r="B6" s="125" t="s">
        <v>211</v>
      </c>
      <c r="C6" s="125"/>
      <c r="D6" s="125"/>
      <c r="E6" s="125"/>
      <c r="F6" s="125"/>
    </row>
    <row r="7" spans="2:7">
      <c r="B7" s="37"/>
      <c r="C7" s="16" t="s">
        <v>212</v>
      </c>
      <c r="D7" s="37" t="s">
        <v>213</v>
      </c>
      <c r="E7" s="39">
        <v>4</v>
      </c>
      <c r="F7" s="29" t="s">
        <v>214</v>
      </c>
    </row>
    <row r="8" spans="2:7">
      <c r="B8" s="37"/>
      <c r="C8" s="16" t="s">
        <v>215</v>
      </c>
      <c r="D8" s="37" t="s">
        <v>213</v>
      </c>
      <c r="E8" s="39">
        <v>11</v>
      </c>
      <c r="F8" s="29" t="s">
        <v>216</v>
      </c>
    </row>
    <row r="9" spans="2:7">
      <c r="B9" s="37"/>
      <c r="C9" s="16" t="s">
        <v>217</v>
      </c>
      <c r="D9" s="47" t="s">
        <v>218</v>
      </c>
      <c r="E9" s="39">
        <v>1</v>
      </c>
      <c r="F9" s="29" t="s">
        <v>219</v>
      </c>
    </row>
    <row r="10" spans="2:7">
      <c r="B10" s="37"/>
      <c r="C10" s="16" t="s">
        <v>220</v>
      </c>
      <c r="D10" s="43" t="s">
        <v>195</v>
      </c>
      <c r="E10" s="39">
        <v>1</v>
      </c>
      <c r="F10" s="29" t="s">
        <v>221</v>
      </c>
      <c r="G10" t="s">
        <v>222</v>
      </c>
    </row>
    <row r="11" spans="2:7" ht="21.75" customHeight="1">
      <c r="B11" s="125" t="s">
        <v>223</v>
      </c>
      <c r="C11" s="125"/>
      <c r="D11" s="125"/>
      <c r="E11" s="125"/>
      <c r="F11" s="125"/>
    </row>
    <row r="12" spans="2:7">
      <c r="B12" s="37"/>
      <c r="C12" s="16" t="s">
        <v>224</v>
      </c>
      <c r="D12" s="40" t="s">
        <v>146</v>
      </c>
      <c r="E12" s="39">
        <v>1</v>
      </c>
      <c r="F12" s="29" t="s">
        <v>225</v>
      </c>
    </row>
    <row r="13" spans="2:7">
      <c r="B13" s="37"/>
      <c r="C13" s="16" t="s">
        <v>226</v>
      </c>
      <c r="D13" s="47" t="s">
        <v>218</v>
      </c>
      <c r="E13" s="39">
        <v>0</v>
      </c>
      <c r="F13" s="29" t="s">
        <v>227</v>
      </c>
    </row>
    <row r="14" spans="2:7">
      <c r="B14" s="37"/>
      <c r="C14" s="16" t="s">
        <v>228</v>
      </c>
      <c r="D14" s="40" t="s">
        <v>146</v>
      </c>
      <c r="E14" s="39">
        <v>1</v>
      </c>
      <c r="F14" s="29" t="s">
        <v>229</v>
      </c>
    </row>
    <row r="15" spans="2:7">
      <c r="B15" s="37"/>
      <c r="C15" s="16" t="s">
        <v>230</v>
      </c>
      <c r="D15" s="47" t="s">
        <v>218</v>
      </c>
      <c r="E15" s="39">
        <v>1</v>
      </c>
      <c r="F15" s="29" t="s">
        <v>231</v>
      </c>
    </row>
    <row r="16" spans="2:7">
      <c r="B16" s="37"/>
      <c r="C16" s="16" t="s">
        <v>232</v>
      </c>
      <c r="D16" s="38" t="s">
        <v>135</v>
      </c>
      <c r="E16" s="39">
        <v>0</v>
      </c>
      <c r="F16" s="29" t="s">
        <v>108</v>
      </c>
    </row>
    <row r="17" spans="2:6" ht="21.75" customHeight="1">
      <c r="B17" s="125" t="s">
        <v>233</v>
      </c>
      <c r="C17" s="125"/>
      <c r="D17" s="125"/>
      <c r="E17" s="125"/>
      <c r="F17" s="125"/>
    </row>
    <row r="18" spans="2:6">
      <c r="B18" s="37"/>
      <c r="C18" s="16" t="s">
        <v>234</v>
      </c>
      <c r="D18" s="40" t="s">
        <v>146</v>
      </c>
      <c r="E18" s="39">
        <v>1</v>
      </c>
      <c r="F18" s="29" t="s">
        <v>235</v>
      </c>
    </row>
    <row r="19" spans="2:6">
      <c r="B19" s="37"/>
      <c r="C19" s="16" t="s">
        <v>236</v>
      </c>
      <c r="D19" s="40" t="s">
        <v>146</v>
      </c>
      <c r="E19" s="39">
        <v>0</v>
      </c>
      <c r="F19" s="29" t="s">
        <v>237</v>
      </c>
    </row>
    <row r="20" spans="2:6">
      <c r="B20" s="37"/>
      <c r="C20" s="16" t="s">
        <v>238</v>
      </c>
      <c r="D20" s="40" t="s">
        <v>146</v>
      </c>
      <c r="E20" s="39">
        <v>0</v>
      </c>
      <c r="F20" s="29" t="s">
        <v>239</v>
      </c>
    </row>
    <row r="21" spans="2:6">
      <c r="B21" s="37"/>
      <c r="C21" s="16" t="s">
        <v>240</v>
      </c>
      <c r="D21" s="38" t="s">
        <v>135</v>
      </c>
      <c r="E21" s="39">
        <v>1</v>
      </c>
      <c r="F21" s="29" t="s">
        <v>241</v>
      </c>
    </row>
    <row r="22" spans="2:6">
      <c r="B22" s="37"/>
      <c r="C22" s="16" t="s">
        <v>242</v>
      </c>
      <c r="D22" s="47" t="s">
        <v>218</v>
      </c>
      <c r="E22" s="39">
        <v>1</v>
      </c>
      <c r="F22" s="29" t="s">
        <v>243</v>
      </c>
    </row>
    <row r="23" spans="2:6" ht="21.75" customHeight="1">
      <c r="B23" s="125" t="s">
        <v>244</v>
      </c>
      <c r="C23" s="125"/>
      <c r="D23" s="125"/>
      <c r="E23" s="125"/>
      <c r="F23" s="125"/>
    </row>
    <row r="24" spans="2:6">
      <c r="B24" s="37"/>
      <c r="C24" s="16" t="s">
        <v>245</v>
      </c>
      <c r="D24" s="48" t="s">
        <v>246</v>
      </c>
      <c r="E24" s="39">
        <v>1</v>
      </c>
      <c r="F24" s="29" t="s">
        <v>247</v>
      </c>
    </row>
    <row r="25" spans="2:6">
      <c r="B25" s="37"/>
      <c r="C25" s="16" t="s">
        <v>248</v>
      </c>
      <c r="D25" s="48" t="s">
        <v>246</v>
      </c>
      <c r="E25" s="39">
        <v>0</v>
      </c>
      <c r="F25" s="29" t="s">
        <v>249</v>
      </c>
    </row>
    <row r="26" spans="2:6">
      <c r="B26" s="37"/>
      <c r="C26" s="16" t="s">
        <v>250</v>
      </c>
      <c r="D26" s="48" t="s">
        <v>246</v>
      </c>
      <c r="E26" s="39">
        <v>1</v>
      </c>
      <c r="F26" s="29" t="s">
        <v>251</v>
      </c>
    </row>
    <row r="27" spans="2:6">
      <c r="B27" s="37"/>
      <c r="C27" s="16" t="s">
        <v>252</v>
      </c>
      <c r="D27" s="48" t="s">
        <v>246</v>
      </c>
      <c r="E27" s="39">
        <v>0</v>
      </c>
      <c r="F27" s="29" t="s">
        <v>253</v>
      </c>
    </row>
    <row r="28" spans="2:6">
      <c r="B28" s="37"/>
      <c r="C28" s="16" t="s">
        <v>254</v>
      </c>
      <c r="D28" s="48" t="s">
        <v>246</v>
      </c>
      <c r="E28" s="39">
        <v>0</v>
      </c>
      <c r="F28" s="29" t="s">
        <v>255</v>
      </c>
    </row>
    <row r="29" spans="2:6">
      <c r="B29" s="37"/>
      <c r="C29" s="16" t="s">
        <v>256</v>
      </c>
      <c r="D29" s="48" t="s">
        <v>246</v>
      </c>
      <c r="E29" s="39">
        <v>1</v>
      </c>
      <c r="F29" s="29" t="s">
        <v>257</v>
      </c>
    </row>
    <row r="30" spans="2:6">
      <c r="B30" s="37"/>
      <c r="C30" s="16" t="s">
        <v>258</v>
      </c>
      <c r="D30" s="48" t="s">
        <v>246</v>
      </c>
      <c r="E30" s="39">
        <v>1</v>
      </c>
      <c r="F30" s="29" t="s">
        <v>259</v>
      </c>
    </row>
    <row r="31" spans="2:6">
      <c r="B31" s="37"/>
      <c r="C31" s="16" t="s">
        <v>260</v>
      </c>
      <c r="D31" s="48" t="s">
        <v>246</v>
      </c>
      <c r="E31" s="39">
        <v>1</v>
      </c>
      <c r="F31" s="29" t="s">
        <v>261</v>
      </c>
    </row>
    <row r="32" spans="2:6">
      <c r="B32" s="37"/>
      <c r="C32" s="16" t="s">
        <v>262</v>
      </c>
      <c r="D32" s="48" t="s">
        <v>246</v>
      </c>
      <c r="E32" s="39">
        <v>1</v>
      </c>
      <c r="F32" s="29" t="s">
        <v>263</v>
      </c>
    </row>
    <row r="33" spans="2:6" ht="21.75" customHeight="1">
      <c r="B33" s="125" t="s">
        <v>264</v>
      </c>
      <c r="C33" s="125"/>
      <c r="D33" s="125"/>
      <c r="E33" s="125"/>
      <c r="F33" s="125"/>
    </row>
    <row r="34" spans="2:6">
      <c r="B34" s="37"/>
      <c r="C34" s="16" t="s">
        <v>265</v>
      </c>
      <c r="D34" s="47" t="s">
        <v>218</v>
      </c>
      <c r="E34" s="39">
        <v>2</v>
      </c>
      <c r="F34" s="29" t="s">
        <v>266</v>
      </c>
    </row>
    <row r="35" spans="2:6">
      <c r="B35" s="37"/>
      <c r="C35" s="16" t="s">
        <v>267</v>
      </c>
      <c r="D35" s="47" t="s">
        <v>218</v>
      </c>
      <c r="E35" s="39">
        <v>2</v>
      </c>
      <c r="F35" s="29" t="s">
        <v>268</v>
      </c>
    </row>
    <row r="36" spans="2:6">
      <c r="B36" s="37"/>
      <c r="C36" s="16" t="s">
        <v>269</v>
      </c>
      <c r="D36" s="47" t="s">
        <v>218</v>
      </c>
      <c r="E36" s="39">
        <v>0</v>
      </c>
      <c r="F36" s="29" t="s">
        <v>270</v>
      </c>
    </row>
    <row r="37" spans="2:6">
      <c r="B37" s="37"/>
      <c r="C37" s="16" t="s">
        <v>271</v>
      </c>
      <c r="D37" s="38" t="s">
        <v>135</v>
      </c>
      <c r="E37" s="39">
        <v>1</v>
      </c>
      <c r="F37" s="29" t="s">
        <v>272</v>
      </c>
    </row>
    <row r="38" spans="2:6" ht="18">
      <c r="B38" s="95" t="s">
        <v>273</v>
      </c>
      <c r="C38" s="95"/>
      <c r="D38" s="95"/>
      <c r="E38" s="49">
        <f>SUM(E6:E37)</f>
        <v>34</v>
      </c>
      <c r="F38" s="50" t="s">
        <v>274</v>
      </c>
    </row>
    <row r="40" spans="2:6" ht="21.75" customHeight="1">
      <c r="B40" s="98" t="s">
        <v>275</v>
      </c>
      <c r="C40" s="98"/>
      <c r="D40" s="98"/>
      <c r="E40" s="98"/>
      <c r="F40" s="98"/>
    </row>
    <row r="41" spans="2:6">
      <c r="B41" s="44" t="s">
        <v>130</v>
      </c>
      <c r="C41" s="44" t="s">
        <v>210</v>
      </c>
      <c r="D41" s="44" t="s">
        <v>276</v>
      </c>
    </row>
    <row r="42" spans="2:6">
      <c r="B42" s="51" t="s">
        <v>218</v>
      </c>
      <c r="C42" s="52">
        <v>11</v>
      </c>
      <c r="D42" s="19">
        <f>C42/$E$38</f>
        <v>0.3235294117647059</v>
      </c>
    </row>
    <row r="43" spans="2:6">
      <c r="B43" s="53" t="s">
        <v>135</v>
      </c>
      <c r="C43" s="52">
        <v>13</v>
      </c>
      <c r="D43" s="19">
        <f>C43/$E$38</f>
        <v>0.38235294117647056</v>
      </c>
    </row>
    <row r="44" spans="2:6">
      <c r="B44" s="54" t="s">
        <v>146</v>
      </c>
      <c r="C44" s="52">
        <v>12</v>
      </c>
      <c r="D44" s="19">
        <f>C44/$E$38</f>
        <v>0.35294117647058826</v>
      </c>
    </row>
    <row r="45" spans="2:6">
      <c r="B45" s="55" t="s">
        <v>195</v>
      </c>
      <c r="C45" s="52">
        <v>5</v>
      </c>
      <c r="D45" s="19">
        <f>C45/$E$38</f>
        <v>0.14705882352941177</v>
      </c>
    </row>
    <row r="46" spans="2:6">
      <c r="B46" s="56" t="s">
        <v>246</v>
      </c>
      <c r="C46" s="52">
        <v>9</v>
      </c>
      <c r="D46" s="19">
        <f>C46/$E$38</f>
        <v>0.26470588235294118</v>
      </c>
    </row>
    <row r="47" spans="2:6">
      <c r="B47" s="30" t="s">
        <v>170</v>
      </c>
      <c r="C47" s="32">
        <f>SUM(C42:C46)</f>
        <v>50</v>
      </c>
      <c r="D47" s="33">
        <f>SUM(D42:D46)</f>
        <v>1.4705882352941175</v>
      </c>
    </row>
  </sheetData>
  <mergeCells count="9">
    <mergeCell ref="B23:F23"/>
    <mergeCell ref="B33:F33"/>
    <mergeCell ref="B38:D38"/>
    <mergeCell ref="B40:F40"/>
    <mergeCell ref="B2:F2"/>
    <mergeCell ref="B3:F3"/>
    <mergeCell ref="B6:F6"/>
    <mergeCell ref="B11:F11"/>
    <mergeCell ref="B17:F17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H61"/>
  <sheetViews>
    <sheetView showGridLines="0" zoomScale="125" zoomScaleNormal="100" workbookViewId="0">
      <pane xSplit="1" ySplit="5" topLeftCell="B13" activePane="bottomRight" state="frozen"/>
      <selection pane="bottomRight" activeCell="G60" sqref="G60"/>
      <selection pane="bottomLeft" activeCell="A6" sqref="A6"/>
      <selection pane="topRight" activeCell="B1" sqref="B1"/>
    </sheetView>
  </sheetViews>
  <sheetFormatPr defaultColWidth="8.7109375" defaultRowHeight="14.25"/>
  <cols>
    <col min="1" max="1" width="3" customWidth="1"/>
    <col min="2" max="2" width="28.5703125" customWidth="1"/>
    <col min="3" max="3" width="34" customWidth="1"/>
    <col min="4" max="4" width="16" customWidth="1"/>
    <col min="5" max="5" width="11" customWidth="1"/>
    <col min="6" max="7" width="18" customWidth="1"/>
    <col min="8" max="8" width="36" customWidth="1"/>
  </cols>
  <sheetData>
    <row r="2" spans="2:8" ht="27.75" customHeight="1">
      <c r="B2" s="92" t="s">
        <v>277</v>
      </c>
      <c r="C2" s="92"/>
      <c r="D2" s="92"/>
      <c r="E2" s="92"/>
      <c r="F2" s="92"/>
      <c r="G2" s="92"/>
      <c r="H2" s="92"/>
    </row>
    <row r="3" spans="2:8">
      <c r="B3" s="128" t="s">
        <v>278</v>
      </c>
      <c r="C3" s="128"/>
      <c r="D3" s="128"/>
      <c r="E3" s="128"/>
      <c r="F3" s="128"/>
      <c r="G3" s="128"/>
      <c r="H3" s="128"/>
    </row>
    <row r="5" spans="2:8" ht="21.75" customHeight="1">
      <c r="B5" s="98" t="s">
        <v>279</v>
      </c>
      <c r="C5" s="98"/>
      <c r="D5" s="98"/>
      <c r="E5" s="98"/>
      <c r="F5" s="98"/>
      <c r="G5" s="98"/>
      <c r="H5" s="98"/>
    </row>
    <row r="6" spans="2:8" ht="21.75" customHeight="1">
      <c r="B6" s="44" t="s">
        <v>130</v>
      </c>
      <c r="C6" s="44" t="s">
        <v>280</v>
      </c>
      <c r="D6" s="44"/>
    </row>
    <row r="7" spans="2:8">
      <c r="B7" s="57" t="s">
        <v>218</v>
      </c>
      <c r="C7" s="58">
        <v>40000</v>
      </c>
    </row>
    <row r="8" spans="2:8">
      <c r="B8" s="59" t="s">
        <v>135</v>
      </c>
      <c r="C8" s="58">
        <v>45000</v>
      </c>
    </row>
    <row r="9" spans="2:8">
      <c r="B9" s="60" t="s">
        <v>146</v>
      </c>
      <c r="C9" s="58">
        <v>65000</v>
      </c>
    </row>
    <row r="10" spans="2:8">
      <c r="B10" s="61" t="s">
        <v>195</v>
      </c>
      <c r="C10" s="58">
        <v>90000</v>
      </c>
    </row>
    <row r="12" spans="2:8" ht="21.75" customHeight="1">
      <c r="B12" s="98" t="s">
        <v>281</v>
      </c>
      <c r="C12" s="98"/>
      <c r="D12" s="98"/>
      <c r="E12" s="98"/>
      <c r="F12" s="98"/>
      <c r="G12" s="98"/>
      <c r="H12" s="98"/>
    </row>
    <row r="13" spans="2:8">
      <c r="B13" s="44" t="s">
        <v>282</v>
      </c>
      <c r="C13" s="44" t="s">
        <v>280</v>
      </c>
    </row>
    <row r="14" spans="2:8">
      <c r="B14" s="62" t="s">
        <v>245</v>
      </c>
      <c r="C14" s="58">
        <v>250000</v>
      </c>
    </row>
    <row r="15" spans="2:8">
      <c r="B15" s="62" t="s">
        <v>248</v>
      </c>
      <c r="C15" s="58">
        <v>250000</v>
      </c>
    </row>
    <row r="16" spans="2:8">
      <c r="B16" s="62" t="s">
        <v>250</v>
      </c>
      <c r="C16" s="58">
        <v>220000</v>
      </c>
    </row>
    <row r="17" spans="2:8">
      <c r="B17" s="62" t="s">
        <v>252</v>
      </c>
      <c r="C17" s="58">
        <v>150000</v>
      </c>
    </row>
    <row r="18" spans="2:8">
      <c r="B18" s="62" t="s">
        <v>254</v>
      </c>
      <c r="C18" s="58">
        <v>150000</v>
      </c>
    </row>
    <row r="19" spans="2:8">
      <c r="B19" s="62" t="s">
        <v>256</v>
      </c>
      <c r="C19" s="58">
        <v>150000</v>
      </c>
    </row>
    <row r="20" spans="2:8">
      <c r="B20" s="62" t="s">
        <v>258</v>
      </c>
      <c r="C20" s="58">
        <v>120000</v>
      </c>
    </row>
    <row r="21" spans="2:8">
      <c r="B21" s="62" t="s">
        <v>260</v>
      </c>
      <c r="C21" s="58">
        <v>150000</v>
      </c>
    </row>
    <row r="22" spans="2:8">
      <c r="B22" s="62" t="s">
        <v>262</v>
      </c>
      <c r="C22" s="58">
        <v>100000</v>
      </c>
    </row>
    <row r="25" spans="2:8" ht="21.75" customHeight="1">
      <c r="B25" s="98" t="s">
        <v>283</v>
      </c>
      <c r="C25" s="98"/>
      <c r="D25" s="98"/>
      <c r="E25" s="98"/>
      <c r="F25" s="98"/>
      <c r="G25" s="98"/>
      <c r="H25" s="98"/>
    </row>
    <row r="26" spans="2:8" ht="21.75" customHeight="1">
      <c r="B26" s="35" t="s">
        <v>284</v>
      </c>
      <c r="C26" s="35" t="s">
        <v>209</v>
      </c>
      <c r="D26" s="35" t="s">
        <v>285</v>
      </c>
      <c r="E26" s="35" t="s">
        <v>210</v>
      </c>
      <c r="F26" s="35" t="s">
        <v>286</v>
      </c>
      <c r="G26" s="35" t="s">
        <v>287</v>
      </c>
      <c r="H26" s="35" t="s">
        <v>103</v>
      </c>
    </row>
    <row r="27" spans="2:8">
      <c r="B27" s="63">
        <v>1</v>
      </c>
      <c r="C27" s="16" t="s">
        <v>288</v>
      </c>
      <c r="D27" s="38" t="s">
        <v>135</v>
      </c>
      <c r="E27" s="39">
        <v>1</v>
      </c>
      <c r="F27" s="64">
        <f>C8</f>
        <v>45000</v>
      </c>
      <c r="G27" s="65">
        <f t="shared" ref="G27:G58" si="0">E27*F27</f>
        <v>45000</v>
      </c>
      <c r="H27" s="29" t="s">
        <v>289</v>
      </c>
    </row>
    <row r="28" spans="2:8">
      <c r="B28" s="63">
        <v>2</v>
      </c>
      <c r="C28" s="16" t="s">
        <v>290</v>
      </c>
      <c r="D28" s="38" t="s">
        <v>135</v>
      </c>
      <c r="E28" s="39">
        <v>1</v>
      </c>
      <c r="F28" s="64">
        <f>C8</f>
        <v>45000</v>
      </c>
      <c r="G28" s="65">
        <f t="shared" si="0"/>
        <v>45000</v>
      </c>
      <c r="H28" s="29" t="s">
        <v>289</v>
      </c>
    </row>
    <row r="29" spans="2:8">
      <c r="B29" s="63">
        <v>3</v>
      </c>
      <c r="C29" s="16" t="s">
        <v>291</v>
      </c>
      <c r="D29" s="40" t="s">
        <v>146</v>
      </c>
      <c r="E29" s="39">
        <v>1</v>
      </c>
      <c r="F29" s="64">
        <f>C9</f>
        <v>65000</v>
      </c>
      <c r="G29" s="65">
        <f t="shared" si="0"/>
        <v>65000</v>
      </c>
      <c r="H29" s="29" t="s">
        <v>292</v>
      </c>
    </row>
    <row r="30" spans="2:8">
      <c r="B30" s="63">
        <v>4</v>
      </c>
      <c r="C30" s="16" t="s">
        <v>293</v>
      </c>
      <c r="D30" s="43" t="s">
        <v>195</v>
      </c>
      <c r="E30" s="39">
        <v>1</v>
      </c>
      <c r="F30" s="64">
        <f>C10</f>
        <v>90000</v>
      </c>
      <c r="G30" s="65">
        <f t="shared" si="0"/>
        <v>90000</v>
      </c>
      <c r="H30" s="29" t="s">
        <v>294</v>
      </c>
    </row>
    <row r="31" spans="2:8">
      <c r="B31" s="63">
        <v>5</v>
      </c>
      <c r="C31" s="16" t="s">
        <v>295</v>
      </c>
      <c r="D31" s="38" t="s">
        <v>135</v>
      </c>
      <c r="E31" s="39">
        <v>8</v>
      </c>
      <c r="F31" s="64">
        <f>C8</f>
        <v>45000</v>
      </c>
      <c r="G31" s="65">
        <f t="shared" si="0"/>
        <v>360000</v>
      </c>
      <c r="H31" s="29" t="s">
        <v>296</v>
      </c>
    </row>
    <row r="32" spans="2:8">
      <c r="B32" s="63">
        <v>6</v>
      </c>
      <c r="C32" s="16" t="s">
        <v>297</v>
      </c>
      <c r="D32" s="40" t="s">
        <v>146</v>
      </c>
      <c r="E32" s="39">
        <v>1</v>
      </c>
      <c r="F32" s="64">
        <f>C9</f>
        <v>65000</v>
      </c>
      <c r="G32" s="65">
        <f t="shared" si="0"/>
        <v>65000</v>
      </c>
      <c r="H32" s="29" t="s">
        <v>298</v>
      </c>
    </row>
    <row r="33" spans="2:8">
      <c r="B33" s="63">
        <v>7</v>
      </c>
      <c r="C33" s="16" t="s">
        <v>299</v>
      </c>
      <c r="D33" s="40" t="s">
        <v>146</v>
      </c>
      <c r="E33" s="39">
        <v>2</v>
      </c>
      <c r="F33" s="64">
        <f>C9</f>
        <v>65000</v>
      </c>
      <c r="G33" s="65">
        <f t="shared" si="0"/>
        <v>130000</v>
      </c>
      <c r="H33" s="29" t="s">
        <v>300</v>
      </c>
    </row>
    <row r="34" spans="2:8">
      <c r="B34" s="63">
        <v>8</v>
      </c>
      <c r="C34" s="16" t="s">
        <v>217</v>
      </c>
      <c r="D34" s="47" t="s">
        <v>218</v>
      </c>
      <c r="E34" s="39">
        <v>1</v>
      </c>
      <c r="F34" s="64">
        <f>C7</f>
        <v>40000</v>
      </c>
      <c r="G34" s="65">
        <f t="shared" si="0"/>
        <v>40000</v>
      </c>
      <c r="H34" s="29"/>
    </row>
    <row r="35" spans="2:8">
      <c r="B35" s="63">
        <v>9</v>
      </c>
      <c r="C35" s="16" t="s">
        <v>220</v>
      </c>
      <c r="D35" s="43" t="s">
        <v>195</v>
      </c>
      <c r="E35" s="39">
        <v>4</v>
      </c>
      <c r="F35" s="64">
        <f>C10</f>
        <v>90000</v>
      </c>
      <c r="G35" s="65">
        <f t="shared" si="0"/>
        <v>360000</v>
      </c>
      <c r="H35" s="29" t="s">
        <v>301</v>
      </c>
    </row>
    <row r="36" spans="2:8">
      <c r="B36" s="63">
        <v>10</v>
      </c>
      <c r="C36" s="16" t="s">
        <v>224</v>
      </c>
      <c r="D36" s="40" t="s">
        <v>146</v>
      </c>
      <c r="E36" s="39">
        <v>2</v>
      </c>
      <c r="F36" s="64">
        <f>C9</f>
        <v>65000</v>
      </c>
      <c r="G36" s="65">
        <f t="shared" si="0"/>
        <v>130000</v>
      </c>
      <c r="H36" s="29"/>
    </row>
    <row r="37" spans="2:8">
      <c r="B37" s="63">
        <v>11</v>
      </c>
      <c r="C37" s="16" t="s">
        <v>226</v>
      </c>
      <c r="D37" s="47" t="s">
        <v>218</v>
      </c>
      <c r="E37" s="39">
        <v>1</v>
      </c>
      <c r="F37" s="64">
        <f>C7</f>
        <v>40000</v>
      </c>
      <c r="G37" s="65">
        <f t="shared" si="0"/>
        <v>40000</v>
      </c>
      <c r="H37" s="29"/>
    </row>
    <row r="38" spans="2:8">
      <c r="B38" s="63">
        <v>12</v>
      </c>
      <c r="C38" s="16" t="s">
        <v>228</v>
      </c>
      <c r="D38" s="40" t="s">
        <v>146</v>
      </c>
      <c r="E38" s="39">
        <v>2</v>
      </c>
      <c r="F38" s="64">
        <f>C9</f>
        <v>65000</v>
      </c>
      <c r="G38" s="65">
        <f t="shared" si="0"/>
        <v>130000</v>
      </c>
      <c r="H38" s="29"/>
    </row>
    <row r="39" spans="2:8">
      <c r="B39" s="63">
        <v>13</v>
      </c>
      <c r="C39" s="16" t="s">
        <v>230</v>
      </c>
      <c r="D39" s="47" t="s">
        <v>218</v>
      </c>
      <c r="E39" s="39">
        <v>1</v>
      </c>
      <c r="F39" s="64">
        <f>C7</f>
        <v>40000</v>
      </c>
      <c r="G39" s="65">
        <f t="shared" si="0"/>
        <v>40000</v>
      </c>
      <c r="H39" s="29"/>
    </row>
    <row r="40" spans="2:8">
      <c r="B40" s="63">
        <v>14</v>
      </c>
      <c r="C40" s="16" t="s">
        <v>232</v>
      </c>
      <c r="D40" s="38" t="s">
        <v>135</v>
      </c>
      <c r="E40" s="39">
        <v>1</v>
      </c>
      <c r="F40" s="64">
        <f>C8</f>
        <v>45000</v>
      </c>
      <c r="G40" s="65">
        <f t="shared" si="0"/>
        <v>45000</v>
      </c>
      <c r="H40" s="29"/>
    </row>
    <row r="41" spans="2:8">
      <c r="B41" s="63">
        <v>15</v>
      </c>
      <c r="C41" s="16" t="s">
        <v>302</v>
      </c>
      <c r="D41" s="40" t="s">
        <v>146</v>
      </c>
      <c r="E41" s="39">
        <v>2</v>
      </c>
      <c r="F41" s="64">
        <f>C9</f>
        <v>65000</v>
      </c>
      <c r="G41" s="65">
        <f t="shared" si="0"/>
        <v>130000</v>
      </c>
      <c r="H41" s="29"/>
    </row>
    <row r="42" spans="2:8">
      <c r="B42" s="63">
        <v>16</v>
      </c>
      <c r="C42" s="16" t="s">
        <v>236</v>
      </c>
      <c r="D42" s="40" t="s">
        <v>146</v>
      </c>
      <c r="E42" s="39">
        <v>1</v>
      </c>
      <c r="F42" s="64">
        <f>C9</f>
        <v>65000</v>
      </c>
      <c r="G42" s="65">
        <f t="shared" si="0"/>
        <v>65000</v>
      </c>
      <c r="H42" s="29"/>
    </row>
    <row r="43" spans="2:8">
      <c r="B43" s="63">
        <v>17</v>
      </c>
      <c r="C43" s="16" t="s">
        <v>238</v>
      </c>
      <c r="D43" s="40" t="s">
        <v>146</v>
      </c>
      <c r="E43" s="39">
        <v>1</v>
      </c>
      <c r="F43" s="64">
        <f>C9</f>
        <v>65000</v>
      </c>
      <c r="G43" s="65">
        <f t="shared" si="0"/>
        <v>65000</v>
      </c>
      <c r="H43" s="29"/>
    </row>
    <row r="44" spans="2:8">
      <c r="B44" s="63">
        <v>18</v>
      </c>
      <c r="C44" s="16" t="s">
        <v>240</v>
      </c>
      <c r="D44" s="38" t="s">
        <v>135</v>
      </c>
      <c r="E44" s="39">
        <v>1</v>
      </c>
      <c r="F44" s="64">
        <f>C8</f>
        <v>45000</v>
      </c>
      <c r="G44" s="65">
        <f t="shared" si="0"/>
        <v>45000</v>
      </c>
      <c r="H44" s="29"/>
    </row>
    <row r="45" spans="2:8">
      <c r="B45" s="63">
        <v>19</v>
      </c>
      <c r="C45" s="16" t="s">
        <v>242</v>
      </c>
      <c r="D45" s="47" t="s">
        <v>218</v>
      </c>
      <c r="E45" s="39">
        <v>2</v>
      </c>
      <c r="F45" s="64">
        <f>C7</f>
        <v>40000</v>
      </c>
      <c r="G45" s="65">
        <f t="shared" si="0"/>
        <v>80000</v>
      </c>
      <c r="H45" s="29"/>
    </row>
    <row r="46" spans="2:8">
      <c r="B46" s="63">
        <v>20</v>
      </c>
      <c r="C46" s="16" t="s">
        <v>245</v>
      </c>
      <c r="D46" s="48" t="s">
        <v>246</v>
      </c>
      <c r="E46" s="39">
        <v>1</v>
      </c>
      <c r="F46" s="64">
        <f t="shared" ref="F46:F53" si="1">C14</f>
        <v>250000</v>
      </c>
      <c r="G46" s="65">
        <f t="shared" si="0"/>
        <v>250000</v>
      </c>
      <c r="H46" s="29"/>
    </row>
    <row r="47" spans="2:8">
      <c r="B47" s="63">
        <v>21</v>
      </c>
      <c r="C47" s="16" t="s">
        <v>248</v>
      </c>
      <c r="D47" s="48" t="s">
        <v>246</v>
      </c>
      <c r="E47" s="39">
        <v>1</v>
      </c>
      <c r="F47" s="64">
        <f t="shared" si="1"/>
        <v>250000</v>
      </c>
      <c r="G47" s="65">
        <f t="shared" si="0"/>
        <v>250000</v>
      </c>
      <c r="H47" s="29"/>
    </row>
    <row r="48" spans="2:8">
      <c r="B48" s="63">
        <v>22</v>
      </c>
      <c r="C48" s="16" t="s">
        <v>250</v>
      </c>
      <c r="D48" s="48" t="s">
        <v>246</v>
      </c>
      <c r="E48" s="39">
        <v>1</v>
      </c>
      <c r="F48" s="64">
        <f t="shared" si="1"/>
        <v>220000</v>
      </c>
      <c r="G48" s="65">
        <f t="shared" si="0"/>
        <v>220000</v>
      </c>
      <c r="H48" s="29"/>
    </row>
    <row r="49" spans="2:8">
      <c r="B49" s="63">
        <v>23</v>
      </c>
      <c r="C49" s="16" t="s">
        <v>252</v>
      </c>
      <c r="D49" s="48" t="s">
        <v>246</v>
      </c>
      <c r="E49" s="39">
        <v>1</v>
      </c>
      <c r="F49" s="64">
        <f t="shared" si="1"/>
        <v>150000</v>
      </c>
      <c r="G49" s="65">
        <f t="shared" si="0"/>
        <v>150000</v>
      </c>
      <c r="H49" s="29"/>
    </row>
    <row r="50" spans="2:8">
      <c r="B50" s="63">
        <v>24</v>
      </c>
      <c r="C50" s="16" t="s">
        <v>254</v>
      </c>
      <c r="D50" s="48" t="s">
        <v>246</v>
      </c>
      <c r="E50" s="39">
        <v>1</v>
      </c>
      <c r="F50" s="64">
        <f t="shared" si="1"/>
        <v>150000</v>
      </c>
      <c r="G50" s="65">
        <f t="shared" si="0"/>
        <v>150000</v>
      </c>
      <c r="H50" s="29"/>
    </row>
    <row r="51" spans="2:8">
      <c r="B51" s="63">
        <v>25</v>
      </c>
      <c r="C51" s="16" t="s">
        <v>256</v>
      </c>
      <c r="D51" s="48" t="s">
        <v>246</v>
      </c>
      <c r="E51" s="39">
        <v>1</v>
      </c>
      <c r="F51" s="64">
        <f t="shared" si="1"/>
        <v>150000</v>
      </c>
      <c r="G51" s="65">
        <f t="shared" si="0"/>
        <v>150000</v>
      </c>
      <c r="H51" s="29"/>
    </row>
    <row r="52" spans="2:8">
      <c r="B52" s="63">
        <v>26</v>
      </c>
      <c r="C52" s="16" t="s">
        <v>258</v>
      </c>
      <c r="D52" s="48" t="s">
        <v>246</v>
      </c>
      <c r="E52" s="39">
        <v>1</v>
      </c>
      <c r="F52" s="64">
        <f t="shared" si="1"/>
        <v>120000</v>
      </c>
      <c r="G52" s="65">
        <f t="shared" si="0"/>
        <v>120000</v>
      </c>
      <c r="H52" s="29"/>
    </row>
    <row r="53" spans="2:8">
      <c r="B53" s="63">
        <v>27</v>
      </c>
      <c r="C53" s="16" t="s">
        <v>260</v>
      </c>
      <c r="D53" s="48" t="s">
        <v>246</v>
      </c>
      <c r="E53" s="39">
        <v>1</v>
      </c>
      <c r="F53" s="64">
        <f t="shared" si="1"/>
        <v>150000</v>
      </c>
      <c r="G53" s="65">
        <f t="shared" si="0"/>
        <v>150000</v>
      </c>
      <c r="H53" s="29"/>
    </row>
    <row r="54" spans="2:8">
      <c r="B54" s="63">
        <v>28</v>
      </c>
      <c r="C54" s="16" t="s">
        <v>262</v>
      </c>
      <c r="D54" s="48" t="s">
        <v>246</v>
      </c>
      <c r="E54" s="39">
        <v>1</v>
      </c>
      <c r="F54" s="64">
        <f>C22</f>
        <v>100000</v>
      </c>
      <c r="G54" s="65">
        <f t="shared" si="0"/>
        <v>100000</v>
      </c>
      <c r="H54" s="29"/>
    </row>
    <row r="55" spans="2:8">
      <c r="B55" s="63">
        <v>29</v>
      </c>
      <c r="C55" s="16" t="s">
        <v>265</v>
      </c>
      <c r="D55" s="47" t="s">
        <v>218</v>
      </c>
      <c r="E55" s="39">
        <v>3</v>
      </c>
      <c r="F55" s="64">
        <f>C7</f>
        <v>40000</v>
      </c>
      <c r="G55" s="65">
        <f t="shared" si="0"/>
        <v>120000</v>
      </c>
      <c r="H55" s="29"/>
    </row>
    <row r="56" spans="2:8">
      <c r="B56" s="63">
        <v>30</v>
      </c>
      <c r="C56" s="16" t="s">
        <v>267</v>
      </c>
      <c r="D56" s="47" t="s">
        <v>218</v>
      </c>
      <c r="E56" s="39">
        <v>2</v>
      </c>
      <c r="F56" s="64">
        <f>C7</f>
        <v>40000</v>
      </c>
      <c r="G56" s="65">
        <f t="shared" si="0"/>
        <v>80000</v>
      </c>
      <c r="H56" s="29"/>
    </row>
    <row r="57" spans="2:8">
      <c r="B57" s="63">
        <v>31</v>
      </c>
      <c r="C57" s="16" t="s">
        <v>269</v>
      </c>
      <c r="D57" s="47" t="s">
        <v>218</v>
      </c>
      <c r="E57" s="39">
        <v>1</v>
      </c>
      <c r="F57" s="64">
        <f>C7</f>
        <v>40000</v>
      </c>
      <c r="G57" s="65">
        <f t="shared" si="0"/>
        <v>40000</v>
      </c>
      <c r="H57" s="29"/>
    </row>
    <row r="58" spans="2:8">
      <c r="B58" s="63">
        <v>32</v>
      </c>
      <c r="C58" s="16" t="s">
        <v>271</v>
      </c>
      <c r="D58" s="38" t="s">
        <v>135</v>
      </c>
      <c r="E58" s="39">
        <v>1</v>
      </c>
      <c r="F58" s="64">
        <f>C8</f>
        <v>45000</v>
      </c>
      <c r="G58" s="65">
        <f t="shared" si="0"/>
        <v>45000</v>
      </c>
      <c r="H58" s="29"/>
    </row>
    <row r="59" spans="2:8" ht="15.75">
      <c r="B59" s="143"/>
      <c r="C59" s="143"/>
      <c r="D59" s="143"/>
      <c r="E59" s="143"/>
      <c r="F59" s="143"/>
      <c r="G59" s="66">
        <f>SUM(G27:G58)</f>
        <v>3795000</v>
      </c>
      <c r="H59" s="67" t="s">
        <v>303</v>
      </c>
    </row>
    <row r="60" spans="2:8" ht="15.75">
      <c r="B60" s="126" t="s">
        <v>304</v>
      </c>
      <c r="C60" s="126"/>
      <c r="D60" s="126"/>
      <c r="E60" s="126"/>
      <c r="F60" s="126"/>
      <c r="G60" s="66">
        <f>G59*12</f>
        <v>45540000</v>
      </c>
      <c r="H60" s="67" t="s">
        <v>305</v>
      </c>
    </row>
    <row r="61" spans="2:8">
      <c r="B61" s="127" t="s">
        <v>306</v>
      </c>
      <c r="C61" s="127"/>
      <c r="D61" s="127"/>
      <c r="E61" s="127"/>
      <c r="F61" s="127"/>
      <c r="G61" s="68">
        <f>G60/5000</f>
        <v>9108</v>
      </c>
      <c r="H61" s="69" t="s">
        <v>307</v>
      </c>
    </row>
  </sheetData>
  <mergeCells count="8">
    <mergeCell ref="B59:F59"/>
    <mergeCell ref="B60:F60"/>
    <mergeCell ref="B61:F61"/>
    <mergeCell ref="B2:H2"/>
    <mergeCell ref="B3:H3"/>
    <mergeCell ref="B5:H5"/>
    <mergeCell ref="B12:H12"/>
    <mergeCell ref="B25:H25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H24"/>
  <sheetViews>
    <sheetView showGridLines="0" zoomScale="136" zoomScaleNormal="100" workbookViewId="0">
      <pane xSplit="1" ySplit="5" topLeftCell="B11" activePane="bottomRight" state="frozen"/>
      <selection pane="bottomRight" activeCell="G13" sqref="G13"/>
      <selection pane="bottomLeft" activeCell="A6" sqref="A6"/>
      <selection pane="topRight" activeCell="B1" sqref="B1"/>
    </sheetView>
  </sheetViews>
  <sheetFormatPr defaultColWidth="8.7109375" defaultRowHeight="14.25"/>
  <cols>
    <col min="1" max="1" width="3" customWidth="1"/>
    <col min="2" max="2" width="5" customWidth="1"/>
    <col min="3" max="3" width="28" customWidth="1"/>
    <col min="4" max="4" width="50" customWidth="1"/>
    <col min="5" max="5" width="18" customWidth="1"/>
    <col min="6" max="6" width="8" customWidth="1"/>
    <col min="7" max="7" width="18" customWidth="1"/>
    <col min="8" max="8" width="22" customWidth="1"/>
  </cols>
  <sheetData>
    <row r="2" spans="2:8" ht="27.75" customHeight="1">
      <c r="B2" s="92" t="s">
        <v>308</v>
      </c>
      <c r="C2" s="92"/>
      <c r="D2" s="92"/>
      <c r="E2" s="92"/>
      <c r="F2" s="92"/>
      <c r="G2" s="92"/>
      <c r="H2" s="92"/>
    </row>
    <row r="3" spans="2:8">
      <c r="B3" s="93" t="s">
        <v>309</v>
      </c>
      <c r="C3" s="93"/>
      <c r="D3" s="93"/>
      <c r="E3" s="93"/>
      <c r="F3" s="93"/>
      <c r="G3" s="93"/>
      <c r="H3" s="93"/>
    </row>
    <row r="4" spans="2:8">
      <c r="B4" s="93" t="s">
        <v>310</v>
      </c>
      <c r="C4" s="93"/>
      <c r="D4" s="93"/>
      <c r="E4" s="93"/>
      <c r="F4" s="93"/>
      <c r="G4" s="93"/>
      <c r="H4" s="93"/>
    </row>
    <row r="6" spans="2:8" ht="27.75" customHeight="1">
      <c r="B6" s="35" t="s">
        <v>284</v>
      </c>
      <c r="C6" s="35" t="s">
        <v>311</v>
      </c>
      <c r="D6" s="35" t="s">
        <v>312</v>
      </c>
      <c r="E6" s="35" t="s">
        <v>313</v>
      </c>
      <c r="F6" s="35" t="s">
        <v>314</v>
      </c>
      <c r="G6" s="35" t="s">
        <v>315</v>
      </c>
      <c r="H6" s="35" t="s">
        <v>316</v>
      </c>
    </row>
    <row r="7" spans="2:8" ht="78" customHeight="1">
      <c r="B7" s="70" t="s">
        <v>317</v>
      </c>
      <c r="C7" s="71" t="s">
        <v>318</v>
      </c>
      <c r="D7" s="72" t="s">
        <v>319</v>
      </c>
      <c r="E7" s="73">
        <v>2650000</v>
      </c>
      <c r="F7" s="18">
        <v>1</v>
      </c>
      <c r="G7" s="74">
        <f t="shared" ref="G7:G12" si="0">E7*F7</f>
        <v>2650000</v>
      </c>
      <c r="H7" s="29" t="s">
        <v>320</v>
      </c>
    </row>
    <row r="8" spans="2:8" ht="78" customHeight="1">
      <c r="B8" s="70" t="s">
        <v>321</v>
      </c>
      <c r="C8" s="71" t="s">
        <v>322</v>
      </c>
      <c r="D8" s="72" t="s">
        <v>323</v>
      </c>
      <c r="E8" s="73">
        <v>1945000</v>
      </c>
      <c r="F8" s="18">
        <v>1</v>
      </c>
      <c r="G8" s="74">
        <f t="shared" si="0"/>
        <v>1945000</v>
      </c>
      <c r="H8" s="29" t="s">
        <v>324</v>
      </c>
    </row>
    <row r="9" spans="2:8" ht="78" customHeight="1">
      <c r="B9" s="70" t="s">
        <v>325</v>
      </c>
      <c r="C9" s="71" t="s">
        <v>326</v>
      </c>
      <c r="D9" s="72" t="s">
        <v>327</v>
      </c>
      <c r="E9" s="73">
        <v>2185000</v>
      </c>
      <c r="F9" s="18">
        <v>1</v>
      </c>
      <c r="G9" s="74">
        <f t="shared" si="0"/>
        <v>2185000</v>
      </c>
      <c r="H9" s="29" t="s">
        <v>328</v>
      </c>
    </row>
    <row r="10" spans="2:8" ht="78" customHeight="1">
      <c r="B10" s="70" t="s">
        <v>329</v>
      </c>
      <c r="C10" s="71" t="s">
        <v>330</v>
      </c>
      <c r="D10" s="72" t="s">
        <v>331</v>
      </c>
      <c r="E10" s="73">
        <v>1898000</v>
      </c>
      <c r="F10" s="18">
        <v>1</v>
      </c>
      <c r="G10" s="74">
        <f t="shared" si="0"/>
        <v>1898000</v>
      </c>
      <c r="H10" s="29" t="s">
        <v>332</v>
      </c>
    </row>
    <row r="11" spans="2:8" ht="78" customHeight="1">
      <c r="B11" s="70" t="s">
        <v>333</v>
      </c>
      <c r="C11" s="71" t="s">
        <v>334</v>
      </c>
      <c r="D11" s="72" t="s">
        <v>335</v>
      </c>
      <c r="E11" s="73">
        <v>1650000</v>
      </c>
      <c r="F11" s="18">
        <v>1</v>
      </c>
      <c r="G11" s="74">
        <f t="shared" si="0"/>
        <v>1650000</v>
      </c>
      <c r="H11" s="29"/>
    </row>
    <row r="12" spans="2:8" ht="78" customHeight="1">
      <c r="B12" s="70" t="s">
        <v>336</v>
      </c>
      <c r="C12" s="71" t="s">
        <v>337</v>
      </c>
      <c r="D12" s="72" t="s">
        <v>338</v>
      </c>
      <c r="E12" s="73">
        <v>950000</v>
      </c>
      <c r="F12" s="18">
        <v>1</v>
      </c>
      <c r="G12" s="74">
        <f t="shared" si="0"/>
        <v>950000</v>
      </c>
      <c r="H12" s="29"/>
    </row>
    <row r="13" spans="2:8">
      <c r="B13" s="132" t="s">
        <v>339</v>
      </c>
      <c r="C13" s="132"/>
      <c r="D13" s="132"/>
      <c r="E13" s="132"/>
      <c r="F13" s="132"/>
      <c r="G13" s="75">
        <f>SUM(G7:G12)</f>
        <v>11278000</v>
      </c>
      <c r="H13" s="9"/>
    </row>
    <row r="14" spans="2:8" ht="23.25">
      <c r="B14" s="133" t="s">
        <v>340</v>
      </c>
      <c r="C14" s="133"/>
      <c r="D14" s="133"/>
      <c r="E14" s="133"/>
      <c r="F14" s="133"/>
      <c r="G14" s="76">
        <f>G13*0</f>
        <v>0</v>
      </c>
      <c r="H14" s="29" t="s">
        <v>341</v>
      </c>
    </row>
    <row r="15" spans="2:8" ht="26.25">
      <c r="B15" s="131" t="s">
        <v>342</v>
      </c>
      <c r="C15" s="131"/>
      <c r="D15" s="131"/>
      <c r="E15" s="131"/>
      <c r="F15" s="131"/>
      <c r="G15" s="77">
        <f>G13+G14</f>
        <v>11278000</v>
      </c>
      <c r="H15" s="50" t="s">
        <v>343</v>
      </c>
    </row>
    <row r="17" spans="2:8" ht="21.75" customHeight="1">
      <c r="B17" s="98" t="s">
        <v>344</v>
      </c>
      <c r="C17" s="98"/>
      <c r="D17" s="98"/>
      <c r="E17" s="98"/>
      <c r="F17" s="98"/>
      <c r="G17" s="98"/>
      <c r="H17" s="98"/>
    </row>
    <row r="18" spans="2:8" ht="21.75" customHeight="1">
      <c r="B18" s="129" t="s">
        <v>345</v>
      </c>
      <c r="C18" s="129"/>
      <c r="D18" s="130" t="s">
        <v>346</v>
      </c>
      <c r="E18" s="130"/>
      <c r="F18" s="130"/>
      <c r="G18" s="130"/>
      <c r="H18" s="130"/>
    </row>
    <row r="19" spans="2:8" ht="21.75" customHeight="1">
      <c r="B19" s="129" t="s">
        <v>347</v>
      </c>
      <c r="C19" s="129"/>
      <c r="D19" s="130" t="s">
        <v>348</v>
      </c>
      <c r="E19" s="130"/>
      <c r="F19" s="130"/>
      <c r="G19" s="130"/>
      <c r="H19" s="130"/>
    </row>
    <row r="20" spans="2:8" ht="21.75" customHeight="1">
      <c r="B20" s="129" t="s">
        <v>349</v>
      </c>
      <c r="C20" s="129"/>
      <c r="D20" s="130" t="s">
        <v>350</v>
      </c>
      <c r="E20" s="130"/>
      <c r="F20" s="130"/>
      <c r="G20" s="130"/>
      <c r="H20" s="130"/>
    </row>
    <row r="21" spans="2:8" ht="21.75" customHeight="1">
      <c r="B21" s="129" t="s">
        <v>351</v>
      </c>
      <c r="C21" s="129"/>
      <c r="D21" s="130" t="s">
        <v>352</v>
      </c>
      <c r="E21" s="130"/>
      <c r="F21" s="130"/>
      <c r="G21" s="130"/>
      <c r="H21" s="130"/>
    </row>
    <row r="22" spans="2:8" ht="21.75" customHeight="1">
      <c r="B22" s="129" t="s">
        <v>353</v>
      </c>
      <c r="C22" s="129"/>
      <c r="D22" s="130" t="s">
        <v>354</v>
      </c>
      <c r="E22" s="130"/>
      <c r="F22" s="130"/>
      <c r="G22" s="130"/>
      <c r="H22" s="130"/>
    </row>
    <row r="23" spans="2:8" ht="21.75" customHeight="1">
      <c r="B23" s="129" t="s">
        <v>355</v>
      </c>
      <c r="C23" s="129"/>
      <c r="D23" s="130" t="s">
        <v>356</v>
      </c>
      <c r="E23" s="130"/>
      <c r="F23" s="130"/>
      <c r="G23" s="130"/>
      <c r="H23" s="130"/>
    </row>
    <row r="24" spans="2:8" ht="21.75" customHeight="1">
      <c r="B24" s="129" t="s">
        <v>357</v>
      </c>
      <c r="C24" s="129"/>
      <c r="D24" s="130" t="s">
        <v>358</v>
      </c>
      <c r="E24" s="130"/>
      <c r="F24" s="130"/>
      <c r="G24" s="130"/>
      <c r="H24" s="130"/>
    </row>
  </sheetData>
  <mergeCells count="21">
    <mergeCell ref="B2:H2"/>
    <mergeCell ref="B3:H3"/>
    <mergeCell ref="B4:H4"/>
    <mergeCell ref="B13:F13"/>
    <mergeCell ref="B14:F14"/>
    <mergeCell ref="B15:F15"/>
    <mergeCell ref="B17:H17"/>
    <mergeCell ref="B18:C18"/>
    <mergeCell ref="D18:H18"/>
    <mergeCell ref="B19:C19"/>
    <mergeCell ref="D19:H19"/>
    <mergeCell ref="B23:C23"/>
    <mergeCell ref="D23:H23"/>
    <mergeCell ref="B24:C24"/>
    <mergeCell ref="D24:H24"/>
    <mergeCell ref="B20:C20"/>
    <mergeCell ref="D20:H20"/>
    <mergeCell ref="B21:C21"/>
    <mergeCell ref="D21:H21"/>
    <mergeCell ref="B22:C22"/>
    <mergeCell ref="D22:H22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F20"/>
  <sheetViews>
    <sheetView showGridLines="0" zoomScale="127" zoomScaleNormal="100" workbookViewId="0">
      <pane xSplit="1" ySplit="5" topLeftCell="B15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4.25"/>
  <cols>
    <col min="1" max="1" width="3" customWidth="1"/>
    <col min="2" max="2" width="5" customWidth="1"/>
    <col min="3" max="3" width="38" customWidth="1"/>
    <col min="4" max="5" width="18" customWidth="1"/>
    <col min="6" max="6" width="50" customWidth="1"/>
  </cols>
  <sheetData>
    <row r="2" spans="2:6" ht="27.75" customHeight="1">
      <c r="B2" s="92" t="s">
        <v>359</v>
      </c>
      <c r="C2" s="92"/>
      <c r="D2" s="92"/>
      <c r="E2" s="92"/>
      <c r="F2" s="92"/>
    </row>
    <row r="3" spans="2:6">
      <c r="B3" s="128" t="s">
        <v>360</v>
      </c>
      <c r="C3" s="128"/>
      <c r="D3" s="128"/>
      <c r="E3" s="128"/>
      <c r="F3" s="128"/>
    </row>
    <row r="5" spans="2:6" ht="24" customHeight="1">
      <c r="B5" s="35" t="s">
        <v>284</v>
      </c>
      <c r="C5" s="35" t="s">
        <v>361</v>
      </c>
      <c r="D5" s="35" t="s">
        <v>362</v>
      </c>
      <c r="E5" s="35" t="s">
        <v>363</v>
      </c>
      <c r="F5" s="35" t="s">
        <v>103</v>
      </c>
    </row>
    <row r="6" spans="2:6" ht="26.25">
      <c r="B6" s="78">
        <v>1</v>
      </c>
      <c r="C6" s="16" t="s">
        <v>364</v>
      </c>
      <c r="D6" s="58">
        <v>600000</v>
      </c>
      <c r="E6" s="17" t="s">
        <v>365</v>
      </c>
      <c r="F6" s="29" t="s">
        <v>366</v>
      </c>
    </row>
    <row r="7" spans="2:6">
      <c r="B7" s="78">
        <v>2</v>
      </c>
      <c r="C7" s="16" t="s">
        <v>367</v>
      </c>
      <c r="D7" s="58">
        <v>275000</v>
      </c>
      <c r="E7" s="17" t="s">
        <v>368</v>
      </c>
      <c r="F7" s="29" t="s">
        <v>369</v>
      </c>
    </row>
    <row r="8" spans="2:6">
      <c r="B8" s="78">
        <v>3</v>
      </c>
      <c r="C8" s="16" t="s">
        <v>370</v>
      </c>
      <c r="D8" s="58">
        <v>500000</v>
      </c>
      <c r="E8" s="17" t="s">
        <v>365</v>
      </c>
      <c r="F8" s="29" t="s">
        <v>371</v>
      </c>
    </row>
    <row r="9" spans="2:6">
      <c r="B9" s="78">
        <v>4</v>
      </c>
      <c r="C9" s="16" t="s">
        <v>372</v>
      </c>
      <c r="D9" s="58">
        <v>300000</v>
      </c>
      <c r="E9" s="17" t="s">
        <v>365</v>
      </c>
      <c r="F9" s="29" t="s">
        <v>373</v>
      </c>
    </row>
    <row r="10" spans="2:6" ht="26.25">
      <c r="B10" s="78">
        <v>5</v>
      </c>
      <c r="C10" s="16" t="s">
        <v>374</v>
      </c>
      <c r="D10" s="58">
        <v>300000</v>
      </c>
      <c r="E10" s="17" t="s">
        <v>368</v>
      </c>
      <c r="F10" s="29" t="s">
        <v>375</v>
      </c>
    </row>
    <row r="11" spans="2:6">
      <c r="B11" s="78">
        <v>6</v>
      </c>
      <c r="C11" s="16" t="s">
        <v>376</v>
      </c>
      <c r="D11" s="58">
        <v>600000</v>
      </c>
      <c r="E11" s="17" t="s">
        <v>365</v>
      </c>
      <c r="F11" s="29" t="s">
        <v>377</v>
      </c>
    </row>
    <row r="12" spans="2:6" ht="26.25">
      <c r="B12" s="78">
        <v>7</v>
      </c>
      <c r="C12" s="16" t="s">
        <v>378</v>
      </c>
      <c r="D12" s="58">
        <v>200000</v>
      </c>
      <c r="E12" s="17" t="s">
        <v>368</v>
      </c>
      <c r="F12" s="29"/>
    </row>
    <row r="13" spans="2:6" ht="26.25">
      <c r="B13" s="78">
        <v>8</v>
      </c>
      <c r="C13" s="16" t="s">
        <v>379</v>
      </c>
      <c r="D13" s="58">
        <v>350000</v>
      </c>
      <c r="E13" s="17" t="s">
        <v>365</v>
      </c>
      <c r="F13" s="29" t="s">
        <v>380</v>
      </c>
    </row>
    <row r="14" spans="2:6" ht="26.25">
      <c r="B14" s="78">
        <v>9</v>
      </c>
      <c r="C14" s="16" t="s">
        <v>381</v>
      </c>
      <c r="D14" s="58">
        <v>600000</v>
      </c>
      <c r="E14" s="17" t="s">
        <v>365</v>
      </c>
      <c r="F14" s="29" t="s">
        <v>382</v>
      </c>
    </row>
    <row r="15" spans="2:6">
      <c r="B15" s="78">
        <v>10</v>
      </c>
      <c r="C15" s="16" t="s">
        <v>383</v>
      </c>
      <c r="D15" s="58">
        <v>1200000</v>
      </c>
      <c r="E15" s="17" t="s">
        <v>365</v>
      </c>
      <c r="F15" s="29" t="s">
        <v>384</v>
      </c>
    </row>
    <row r="16" spans="2:6">
      <c r="B16" s="78">
        <v>11</v>
      </c>
      <c r="C16" s="16" t="s">
        <v>385</v>
      </c>
      <c r="D16" s="58">
        <v>400000</v>
      </c>
      <c r="E16" s="17" t="s">
        <v>368</v>
      </c>
      <c r="F16" s="29"/>
    </row>
    <row r="17" spans="2:6">
      <c r="B17" s="78">
        <v>12</v>
      </c>
      <c r="C17" s="16" t="s">
        <v>386</v>
      </c>
      <c r="D17" s="58">
        <v>500000</v>
      </c>
      <c r="E17" s="17" t="s">
        <v>365</v>
      </c>
      <c r="F17" s="29" t="s">
        <v>387</v>
      </c>
    </row>
    <row r="18" spans="2:6" ht="26.25">
      <c r="B18" s="78">
        <v>13</v>
      </c>
      <c r="C18" s="16" t="s">
        <v>388</v>
      </c>
      <c r="D18" s="58">
        <v>250000</v>
      </c>
      <c r="E18" s="17" t="s">
        <v>368</v>
      </c>
      <c r="F18" s="29" t="s">
        <v>389</v>
      </c>
    </row>
    <row r="19" spans="2:6">
      <c r="B19" s="78">
        <v>14</v>
      </c>
      <c r="C19" s="16" t="s">
        <v>390</v>
      </c>
      <c r="D19" s="58">
        <v>500000</v>
      </c>
      <c r="E19" s="17" t="s">
        <v>391</v>
      </c>
      <c r="F19" s="29" t="s">
        <v>392</v>
      </c>
    </row>
    <row r="20" spans="2:6" ht="15.75">
      <c r="B20" s="126" t="s">
        <v>393</v>
      </c>
      <c r="C20" s="126"/>
      <c r="D20" s="66">
        <f>SUM(D6:D19)</f>
        <v>6575000</v>
      </c>
      <c r="E20" s="10"/>
      <c r="F20" s="10"/>
    </row>
  </sheetData>
  <mergeCells count="3">
    <mergeCell ref="B2:F2"/>
    <mergeCell ref="B3:F3"/>
    <mergeCell ref="B20:C20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F14"/>
  <sheetViews>
    <sheetView showGridLines="0" tabSelected="1" zoomScale="113" zoomScaleNormal="100" workbookViewId="0">
      <pane xSplit="1" ySplit="5" topLeftCell="B6" activePane="bottomRight" state="frozen"/>
      <selection pane="bottomRight" activeCell="E15" sqref="E15"/>
      <selection pane="bottomLeft" activeCell="A6" sqref="A6"/>
      <selection pane="topRight" activeCell="B1" sqref="B1"/>
    </sheetView>
  </sheetViews>
  <sheetFormatPr defaultColWidth="8.7109375" defaultRowHeight="14.25"/>
  <cols>
    <col min="1" max="1" width="3" customWidth="1"/>
    <col min="2" max="2" width="4" customWidth="1"/>
    <col min="3" max="3" width="42" customWidth="1"/>
    <col min="4" max="4" width="22" customWidth="1"/>
    <col min="5" max="5" width="14" customWidth="1"/>
    <col min="6" max="6" width="36" customWidth="1"/>
  </cols>
  <sheetData>
    <row r="2" spans="2:6" ht="27.75" customHeight="1">
      <c r="B2" s="92" t="s">
        <v>394</v>
      </c>
      <c r="C2" s="92"/>
      <c r="D2" s="92"/>
      <c r="E2" s="92"/>
      <c r="F2" s="92"/>
    </row>
    <row r="3" spans="2:6">
      <c r="B3" s="93" t="s">
        <v>395</v>
      </c>
      <c r="C3" s="93"/>
      <c r="D3" s="93"/>
      <c r="E3" s="93"/>
      <c r="F3" s="93"/>
    </row>
    <row r="5" spans="2:6" ht="24" customHeight="1">
      <c r="B5" s="35" t="s">
        <v>284</v>
      </c>
      <c r="C5" s="35" t="s">
        <v>396</v>
      </c>
      <c r="D5" s="35" t="s">
        <v>315</v>
      </c>
      <c r="E5" s="35" t="s">
        <v>397</v>
      </c>
      <c r="F5" s="35" t="s">
        <v>103</v>
      </c>
    </row>
    <row r="6" spans="2:6">
      <c r="B6" s="79">
        <v>1</v>
      </c>
      <c r="C6" s="16" t="s">
        <v>398</v>
      </c>
      <c r="D6" s="80">
        <f>'8. CapEx Quoted'!G15</f>
        <v>11278000</v>
      </c>
      <c r="E6" s="19">
        <f t="shared" ref="E6:E13" si="0">D6/$D$14</f>
        <v>0.47281264411185175</v>
      </c>
      <c r="F6" s="29" t="s">
        <v>399</v>
      </c>
    </row>
    <row r="7" spans="2:6">
      <c r="B7" s="79">
        <v>2</v>
      </c>
      <c r="C7" s="16" t="s">
        <v>400</v>
      </c>
      <c r="D7" s="80">
        <f>'9. CapEx Additional'!D20</f>
        <v>6575000</v>
      </c>
      <c r="E7" s="19">
        <f t="shared" si="0"/>
        <v>0.27564666918207353</v>
      </c>
      <c r="F7" s="29" t="s">
        <v>401</v>
      </c>
    </row>
    <row r="8" spans="2:6">
      <c r="B8" s="94" t="s">
        <v>402</v>
      </c>
      <c r="C8" s="94"/>
      <c r="D8" s="75">
        <f>SUM(D6:D7)</f>
        <v>17853000</v>
      </c>
      <c r="E8" s="81">
        <f t="shared" si="0"/>
        <v>0.74845931329392534</v>
      </c>
      <c r="F8" s="9"/>
    </row>
    <row r="9" spans="2:6" ht="26.25">
      <c r="B9" s="79">
        <v>3</v>
      </c>
      <c r="C9" s="16" t="s">
        <v>403</v>
      </c>
      <c r="D9" s="58">
        <v>5000000</v>
      </c>
      <c r="E9" s="19">
        <f t="shared" si="0"/>
        <v>0.20961723892172893</v>
      </c>
      <c r="F9" s="29" t="s">
        <v>404</v>
      </c>
    </row>
    <row r="10" spans="2:6" ht="26.25">
      <c r="B10" s="79">
        <v>4</v>
      </c>
      <c r="C10" s="16" t="s">
        <v>405</v>
      </c>
      <c r="D10" s="58">
        <v>1000000</v>
      </c>
      <c r="E10" s="19">
        <f t="shared" si="0"/>
        <v>4.1923447784345785E-2</v>
      </c>
      <c r="F10" s="29" t="s">
        <v>406</v>
      </c>
    </row>
    <row r="11" spans="2:6">
      <c r="B11" s="79">
        <v>5</v>
      </c>
      <c r="C11" s="16" t="s">
        <v>407</v>
      </c>
      <c r="D11" s="58">
        <v>0</v>
      </c>
      <c r="E11" s="19">
        <f t="shared" si="0"/>
        <v>0</v>
      </c>
      <c r="F11" s="29" t="s">
        <v>408</v>
      </c>
    </row>
    <row r="12" spans="2:6">
      <c r="B12" s="79">
        <v>6</v>
      </c>
      <c r="C12" s="16" t="s">
        <v>409</v>
      </c>
      <c r="D12" s="58">
        <v>0</v>
      </c>
      <c r="E12" s="19">
        <f t="shared" si="0"/>
        <v>0</v>
      </c>
      <c r="F12" s="29" t="s">
        <v>410</v>
      </c>
    </row>
    <row r="13" spans="2:6">
      <c r="B13" s="79">
        <v>7</v>
      </c>
      <c r="C13" s="16" t="s">
        <v>411</v>
      </c>
      <c r="D13" s="58">
        <v>0</v>
      </c>
      <c r="E13" s="19">
        <f t="shared" si="0"/>
        <v>0</v>
      </c>
      <c r="F13" s="29" t="s">
        <v>412</v>
      </c>
    </row>
    <row r="14" spans="2:6" ht="18">
      <c r="B14" s="95" t="s">
        <v>413</v>
      </c>
      <c r="C14" s="95"/>
      <c r="D14" s="77">
        <f>D8+SUM(D9:D13)</f>
        <v>23853000</v>
      </c>
      <c r="E14" s="82">
        <v>1</v>
      </c>
      <c r="F14" s="10"/>
    </row>
  </sheetData>
  <mergeCells count="4">
    <mergeCell ref="B2:F2"/>
    <mergeCell ref="B3:F3"/>
    <mergeCell ref="B8:C8"/>
    <mergeCell ref="B14:C14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D54"/>
  <sheetViews>
    <sheetView showGridLines="0" zoomScaleNormal="100" workbookViewId="0">
      <selection activeCell="C7" sqref="C7"/>
    </sheetView>
  </sheetViews>
  <sheetFormatPr defaultColWidth="8.7109375" defaultRowHeight="14.25"/>
  <cols>
    <col min="1" max="1" width="3" customWidth="1"/>
    <col min="2" max="2" width="38" customWidth="1"/>
    <col min="3" max="3" width="56" customWidth="1"/>
  </cols>
  <sheetData>
    <row r="2" spans="2:4" ht="27.75" customHeight="1">
      <c r="B2" s="92" t="s">
        <v>414</v>
      </c>
      <c r="C2" s="92"/>
    </row>
    <row r="4" spans="2:4" ht="21.75" customHeight="1">
      <c r="B4" s="98" t="s">
        <v>415</v>
      </c>
      <c r="C4" s="98"/>
    </row>
    <row r="5" spans="2:4">
      <c r="B5" s="71" t="s">
        <v>15</v>
      </c>
      <c r="C5" s="16" t="s">
        <v>416</v>
      </c>
    </row>
    <row r="6" spans="2:4">
      <c r="B6" s="71" t="s">
        <v>417</v>
      </c>
      <c r="C6" s="16" t="s">
        <v>418</v>
      </c>
    </row>
    <row r="7" spans="2:4">
      <c r="B7" s="71" t="s">
        <v>419</v>
      </c>
      <c r="C7" s="16" t="s">
        <v>420</v>
      </c>
    </row>
    <row r="8" spans="2:4">
      <c r="B8" s="71" t="s">
        <v>421</v>
      </c>
      <c r="C8" s="16" t="s">
        <v>422</v>
      </c>
    </row>
    <row r="9" spans="2:4">
      <c r="B9" s="71" t="s">
        <v>423</v>
      </c>
      <c r="C9" s="16" t="s">
        <v>424</v>
      </c>
    </row>
    <row r="10" spans="2:4">
      <c r="B10" s="71" t="s">
        <v>425</v>
      </c>
      <c r="C10" s="16" t="s">
        <v>426</v>
      </c>
    </row>
    <row r="12" spans="2:4" ht="21.75" customHeight="1">
      <c r="B12" s="98" t="s">
        <v>427</v>
      </c>
      <c r="C12" s="98"/>
    </row>
    <row r="13" spans="2:4">
      <c r="B13" s="71" t="s">
        <v>5</v>
      </c>
      <c r="C13" s="16" t="s">
        <v>428</v>
      </c>
      <c r="D13" t="s">
        <v>429</v>
      </c>
    </row>
    <row r="14" spans="2:4">
      <c r="B14" s="71" t="s">
        <v>10</v>
      </c>
      <c r="C14" s="16" t="s">
        <v>430</v>
      </c>
    </row>
    <row r="15" spans="2:4" ht="26.25">
      <c r="B15" s="71" t="s">
        <v>431</v>
      </c>
      <c r="C15" s="16" t="s">
        <v>432</v>
      </c>
    </row>
    <row r="16" spans="2:4">
      <c r="B16" s="71" t="s">
        <v>433</v>
      </c>
      <c r="C16" s="16" t="s">
        <v>434</v>
      </c>
    </row>
    <row r="17" spans="2:3">
      <c r="B17" s="71" t="s">
        <v>435</v>
      </c>
      <c r="C17" s="16" t="s">
        <v>436</v>
      </c>
    </row>
    <row r="18" spans="2:3">
      <c r="B18" s="71" t="s">
        <v>437</v>
      </c>
      <c r="C18" s="16" t="s">
        <v>438</v>
      </c>
    </row>
    <row r="19" spans="2:3">
      <c r="B19" s="71" t="s">
        <v>439</v>
      </c>
      <c r="C19" s="16" t="s">
        <v>440</v>
      </c>
    </row>
    <row r="21" spans="2:3" ht="21.75" customHeight="1">
      <c r="B21" s="98" t="s">
        <v>441</v>
      </c>
      <c r="C21" s="98"/>
    </row>
    <row r="22" spans="2:3" ht="26.25">
      <c r="B22" s="71" t="s">
        <v>442</v>
      </c>
      <c r="C22" s="16" t="s">
        <v>443</v>
      </c>
    </row>
    <row r="23" spans="2:3">
      <c r="B23" s="71" t="s">
        <v>444</v>
      </c>
      <c r="C23" s="16" t="s">
        <v>445</v>
      </c>
    </row>
    <row r="24" spans="2:3">
      <c r="B24" s="71" t="s">
        <v>446</v>
      </c>
      <c r="C24" s="16" t="s">
        <v>447</v>
      </c>
    </row>
    <row r="25" spans="2:3">
      <c r="B25" s="71" t="s">
        <v>448</v>
      </c>
      <c r="C25" s="16" t="s">
        <v>449</v>
      </c>
    </row>
    <row r="26" spans="2:3">
      <c r="B26" s="71" t="s">
        <v>450</v>
      </c>
      <c r="C26" s="16" t="s">
        <v>451</v>
      </c>
    </row>
    <row r="27" spans="2:3">
      <c r="B27" s="71" t="s">
        <v>452</v>
      </c>
      <c r="C27" s="16" t="s">
        <v>453</v>
      </c>
    </row>
    <row r="28" spans="2:3">
      <c r="B28" s="71" t="s">
        <v>454</v>
      </c>
      <c r="C28" s="16" t="s">
        <v>455</v>
      </c>
    </row>
    <row r="30" spans="2:3" ht="21.75" customHeight="1">
      <c r="B30" s="98" t="s">
        <v>456</v>
      </c>
      <c r="C30" s="98"/>
    </row>
    <row r="31" spans="2:3" ht="26.25">
      <c r="B31" s="71" t="s">
        <v>457</v>
      </c>
      <c r="C31" s="16" t="s">
        <v>458</v>
      </c>
    </row>
    <row r="32" spans="2:3" ht="26.25">
      <c r="B32" s="71" t="s">
        <v>459</v>
      </c>
      <c r="C32" s="16" t="s">
        <v>460</v>
      </c>
    </row>
    <row r="33" spans="2:3">
      <c r="B33" s="71" t="s">
        <v>461</v>
      </c>
      <c r="C33" s="16" t="s">
        <v>462</v>
      </c>
    </row>
    <row r="34" spans="2:3">
      <c r="B34" s="71" t="s">
        <v>463</v>
      </c>
      <c r="C34" s="16" t="s">
        <v>464</v>
      </c>
    </row>
    <row r="35" spans="2:3" ht="26.25">
      <c r="B35" s="71" t="s">
        <v>355</v>
      </c>
      <c r="C35" s="16" t="s">
        <v>465</v>
      </c>
    </row>
    <row r="36" spans="2:3" ht="26.25">
      <c r="B36" s="71" t="s">
        <v>466</v>
      </c>
      <c r="C36" s="16" t="s">
        <v>467</v>
      </c>
    </row>
    <row r="38" spans="2:3" ht="21.75" customHeight="1">
      <c r="B38" s="98" t="s">
        <v>468</v>
      </c>
      <c r="C38" s="98"/>
    </row>
    <row r="39" spans="2:3" ht="26.25">
      <c r="B39" s="71" t="s">
        <v>469</v>
      </c>
      <c r="C39" s="16" t="s">
        <v>470</v>
      </c>
    </row>
    <row r="40" spans="2:3" ht="26.25">
      <c r="B40" s="71" t="s">
        <v>471</v>
      </c>
      <c r="C40" s="16" t="s">
        <v>472</v>
      </c>
    </row>
    <row r="41" spans="2:3" ht="26.25">
      <c r="B41" s="71" t="s">
        <v>473</v>
      </c>
      <c r="C41" s="16" t="s">
        <v>474</v>
      </c>
    </row>
    <row r="42" spans="2:3">
      <c r="B42" s="71" t="s">
        <v>475</v>
      </c>
      <c r="C42" s="16" t="s">
        <v>476</v>
      </c>
    </row>
    <row r="43" spans="2:3">
      <c r="B43" s="71" t="s">
        <v>477</v>
      </c>
      <c r="C43" s="16" t="s">
        <v>478</v>
      </c>
    </row>
    <row r="44" spans="2:3">
      <c r="B44" s="71" t="s">
        <v>479</v>
      </c>
      <c r="C44" s="16" t="s">
        <v>480</v>
      </c>
    </row>
    <row r="45" spans="2:3">
      <c r="B45" s="71" t="s">
        <v>481</v>
      </c>
      <c r="C45" s="16" t="s">
        <v>482</v>
      </c>
    </row>
    <row r="46" spans="2:3">
      <c r="B46" s="71" t="s">
        <v>483</v>
      </c>
      <c r="C46" s="16" t="s">
        <v>484</v>
      </c>
    </row>
    <row r="47" spans="2:3">
      <c r="B47" s="71" t="s">
        <v>485</v>
      </c>
      <c r="C47" s="16" t="s">
        <v>486</v>
      </c>
    </row>
    <row r="49" spans="2:3" ht="21.75" customHeight="1">
      <c r="B49" s="98" t="s">
        <v>487</v>
      </c>
      <c r="C49" s="98"/>
    </row>
    <row r="50" spans="2:3">
      <c r="B50" s="71" t="s">
        <v>488</v>
      </c>
      <c r="C50" s="16" t="s">
        <v>489</v>
      </c>
    </row>
    <row r="51" spans="2:3" ht="26.25">
      <c r="B51" s="71" t="s">
        <v>490</v>
      </c>
      <c r="C51" s="16" t="s">
        <v>491</v>
      </c>
    </row>
    <row r="52" spans="2:3">
      <c r="B52" s="71" t="s">
        <v>492</v>
      </c>
      <c r="C52" s="16" t="s">
        <v>493</v>
      </c>
    </row>
    <row r="53" spans="2:3">
      <c r="B53" s="71" t="s">
        <v>494</v>
      </c>
      <c r="C53" s="16" t="s">
        <v>495</v>
      </c>
    </row>
    <row r="54" spans="2:3">
      <c r="B54" s="71" t="s">
        <v>496</v>
      </c>
      <c r="C54" s="16" t="s">
        <v>497</v>
      </c>
    </row>
  </sheetData>
  <mergeCells count="7">
    <mergeCell ref="B38:C38"/>
    <mergeCell ref="B49:C49"/>
    <mergeCell ref="B2:C2"/>
    <mergeCell ref="B4:C4"/>
    <mergeCell ref="B12:C12"/>
    <mergeCell ref="B21:C21"/>
    <mergeCell ref="B30:C30"/>
  </mergeCell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2026-05-19T06:32:49Z</dcterms:created>
  <dcterms:modified xsi:type="dcterms:W3CDTF">2026-06-24T05:20:53Z</dcterms:modified>
  <cp:category/>
  <cp:contentStatus/>
</cp:coreProperties>
</file>