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oltrides-my.sharepoint.com/personal/nauman_voltrides_com_pk/Documents/Desktop/"/>
    </mc:Choice>
  </mc:AlternateContent>
  <xr:revisionPtr revIDLastSave="0" documentId="8_{EFA543BF-2FE5-4060-99D5-F2C476D3B352}" xr6:coauthVersionLast="47" xr6:coauthVersionMax="47" xr10:uidLastSave="{00000000-0000-0000-0000-000000000000}"/>
  <bookViews>
    <workbookView xWindow="48480" yWindow="-1470" windowWidth="15600" windowHeight="11040" xr2:uid="{209B52B9-FF7A-4847-9AD3-5760D3596B1D}"/>
  </bookViews>
  <sheets>
    <sheet name="14. Operating Cost (OPEX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12" i="1"/>
  <c r="D20" i="1" s="1"/>
  <c r="D21" i="1" s="1"/>
</calcChain>
</file>

<file path=xl/sharedStrings.xml><?xml version="1.0" encoding="utf-8"?>
<sst xmlns="http://schemas.openxmlformats.org/spreadsheetml/2006/main" count="52" uniqueCount="41">
  <si>
    <t>Operating Cost (OPEX) — Annual, Non-Labour</t>
  </si>
  <si>
    <t>Annual cost to RUN the plant, excluding direct materials (see BOM, Sheet 15) and labour (see Sheet 7). Yellow = editable; maintenance &amp; insurance are %-driven from CapEx (Sheet 12).</t>
  </si>
  <si>
    <t>#</t>
  </si>
  <si>
    <t>Cost line</t>
  </si>
  <si>
    <t>Annual (PKR)</t>
  </si>
  <si>
    <t>Basis</t>
  </si>
  <si>
    <t>Note</t>
  </si>
  <si>
    <t>Electricity (power)</t>
  </si>
  <si>
    <t>Input</t>
  </si>
  <si>
    <t>Connected load × tariff × hours — verify with DISCO bill</t>
  </si>
  <si>
    <t>Gas / fuel (paint ovens, heat chambers)</t>
  </si>
  <si>
    <t>Burners on phosphate/baking ovens</t>
  </si>
  <si>
    <t>Water</t>
  </si>
  <si>
    <t>Process + sanitary</t>
  </si>
  <si>
    <t>Paint, phosphate &amp; finishing chemicals</t>
  </si>
  <si>
    <t>Consumable — scales with volume</t>
  </si>
  <si>
    <t>Welding consumables (wire / gas)</t>
  </si>
  <si>
    <t>Weld shop</t>
  </si>
  <si>
    <t>Packaging &amp; dispatch consumables</t>
  </si>
  <si>
    <t>Cartons, foam, straps</t>
  </si>
  <si>
    <t>Maintenance &amp; spares</t>
  </si>
  <si>
    <t>% of equip. CapEx</t>
  </si>
  <si>
    <t>Driver on Sheet 12 (default 4%)</t>
  </si>
  <si>
    <t>Building rent / lease</t>
  </si>
  <si>
    <t>PKR 300k/mo placeholder. Set 0 if owned (land in CapEx instead)</t>
  </si>
  <si>
    <t>Insurance (plant, inventory, WC)</t>
  </si>
  <si>
    <t>% of total CapEx</t>
  </si>
  <si>
    <t>Driver on Sheet 12 (default 1.5%)</t>
  </si>
  <si>
    <t>IT, telecom &amp; software (incl. ERP AMC)</t>
  </si>
  <si>
    <t>Annual maintenance/licences</t>
  </si>
  <si>
    <t>Office, admin, travel, professional fees</t>
  </si>
  <si>
    <t>Audit, legal, sundries</t>
  </si>
  <si>
    <t>Inbound freight &amp; clearing (if not in BOM)</t>
  </si>
  <si>
    <t>Avoid double-count with BOM freight</t>
  </si>
  <si>
    <t>Scrap / rework allowance (non-material)</t>
  </si>
  <si>
    <t>Labour/energy on rework</t>
  </si>
  <si>
    <t>Contingency / other</t>
  </si>
  <si>
    <t>Buffer</t>
  </si>
  <si>
    <t>TOTAL ANNUAL OPEX (non-labour)</t>
  </si>
  <si>
    <t>OPEX per bike</t>
  </si>
  <si>
    <t>Excludes labour (Sheet 7) and direct materials (Sheet 15). Kept at FULL ANNUAL values (not pro-rated). Volume-driven consumables (paint, welding, packaging) are sized above a single 100-bike batch — trim if running only one batch.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</si>
</sst>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PKR &quot;#,##0;[Red]&quot;(PKR &quot;#,##0\);\-"/>
  </numFmts>
  <fonts count="9" x14ac:knownFonts="1">
    <font>
      <sz val="11"/>
      <color theme="1"/>
      <name val="Calibri"/>
      <family val="2"/>
      <charset val="1"/>
    </font>
    <font>
      <b/>
      <sz val="22"/>
      <color rgb="FF1E3A8A"/>
      <name val="Calibri"/>
      <charset val="1"/>
    </font>
    <font>
      <sz val="10"/>
      <color rgb="FF64748B"/>
      <name val="Calibri"/>
      <charset val="1"/>
    </font>
    <font>
      <b/>
      <sz val="10"/>
      <color rgb="FF0F172A"/>
      <name val="Calibri"/>
      <charset val="1"/>
    </font>
    <font>
      <sz val="10"/>
      <color rgb="FF0F172A"/>
      <name val="Calibri"/>
      <charset val="1"/>
    </font>
    <font>
      <b/>
      <sz val="10"/>
      <color rgb="FF0000FF"/>
      <name val="Calibri"/>
      <charset val="1"/>
    </font>
    <font>
      <b/>
      <sz val="11"/>
      <color rgb="FFFFFFFF"/>
      <name val="Calibri"/>
      <charset val="1"/>
    </font>
    <font>
      <b/>
      <sz val="10"/>
      <color rgb="FF1E3A8A"/>
      <name val="Calibri"/>
      <charset val="1"/>
    </font>
    <font>
      <i/>
      <sz val="10"/>
      <color rgb="FF64748B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E8EEF5"/>
      </patternFill>
    </fill>
    <fill>
      <patternFill patternType="solid">
        <fgColor rgb="FFFEF3C7"/>
        <bgColor rgb="FFF1F5F9"/>
      </patternFill>
    </fill>
    <fill>
      <patternFill patternType="solid">
        <fgColor rgb="FF1E3A8A"/>
        <bgColor rgb="FF1F4E78"/>
      </patternFill>
    </fill>
    <fill>
      <patternFill patternType="solid">
        <fgColor rgb="FFDBEAFE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2" fillId="0" borderId="0" xfId="0" applyFont="1"/>
    <xf numFmtId="0" fontId="4" fillId="0" borderId="0" xfId="0" applyFont="1"/>
    <xf numFmtId="164" fontId="5" fillId="3" borderId="0" xfId="0" applyNumberFormat="1" applyFont="1" applyFill="1"/>
    <xf numFmtId="164" fontId="4" fillId="0" borderId="0" xfId="0" applyNumberFormat="1" applyFont="1"/>
    <xf numFmtId="0" fontId="6" fillId="4" borderId="0" xfId="0" applyFont="1" applyFill="1"/>
    <xf numFmtId="164" fontId="6" fillId="4" borderId="0" xfId="0" applyNumberFormat="1" applyFont="1" applyFill="1"/>
    <xf numFmtId="0" fontId="4" fillId="4" borderId="0" xfId="0" applyFont="1" applyFill="1"/>
    <xf numFmtId="0" fontId="3" fillId="5" borderId="0" xfId="0" applyFont="1" applyFill="1"/>
    <xf numFmtId="164" fontId="7" fillId="5" borderId="0" xfId="0" applyNumberFormat="1" applyFont="1" applyFill="1"/>
    <xf numFmtId="0" fontId="4" fillId="5" borderId="0" xfId="0" applyFont="1" applyFill="1"/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oltrides-my.sharepoint.com/personal/nauman_voltrides_com_pk/Documents/Desktop/Plant/VoltRides_Plant_Master_v3.xlsx" TargetMode="External"/><Relationship Id="rId1" Type="http://schemas.openxmlformats.org/officeDocument/2006/relationships/externalLinkPath" Target="Plant/VoltRides_Plant_Master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Cover &amp; Summary"/>
      <sheetName val="2. Plant Layout"/>
      <sheetName val="3. Space Schedule"/>
      <sheetName val="4. Sub-Assemblies"/>
      <sheetName val="5. Main Assembly Line"/>
      <sheetName val="6. Headcount"/>
      <sheetName val="7. Labour Cost"/>
      <sheetName val="8. CapEx Quoted"/>
      <sheetName val="9. CapEx Additional"/>
      <sheetName val="10. CapEx Summary"/>
      <sheetName val="11. Assumptions &amp; Notes"/>
      <sheetName val="12. Costing Inputs"/>
      <sheetName val="13. Capital Recovery"/>
      <sheetName val="14. Operating Cost (OPEX)"/>
      <sheetName val="15. BOM (Material)"/>
      <sheetName val="16. Unit Price Build-Up"/>
      <sheetName val="17. Break-even &amp; Sensitiv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D8">
            <v>14628000</v>
          </cell>
        </row>
        <row r="14">
          <cell r="D14">
            <v>20628000</v>
          </cell>
        </row>
      </sheetData>
      <sheetData sheetId="10"/>
      <sheetData sheetId="11">
        <row r="9">
          <cell r="C9">
            <v>388</v>
          </cell>
        </row>
        <row r="27">
          <cell r="C27">
            <v>0.03</v>
          </cell>
        </row>
        <row r="28">
          <cell r="C28">
            <v>1.4999999999999999E-2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EA-776F-423F-BB75-34263D5D659F}">
  <dimension ref="B2:F22"/>
  <sheetViews>
    <sheetView showGridLines="0" tabSelected="1" topLeftCell="A3" zoomScaleNormal="100" workbookViewId="0">
      <selection activeCell="C12" sqref="C12"/>
    </sheetView>
  </sheetViews>
  <sheetFormatPr defaultColWidth="8.73046875" defaultRowHeight="14.25" x14ac:dyDescent="0.45"/>
  <cols>
    <col min="1" max="1" width="3" customWidth="1"/>
    <col min="2" max="2" width="4" customWidth="1"/>
    <col min="3" max="3" width="40" customWidth="1"/>
    <col min="4" max="4" width="18" customWidth="1"/>
    <col min="5" max="5" width="22" customWidth="1"/>
    <col min="6" max="6" width="40" customWidth="1"/>
  </cols>
  <sheetData>
    <row r="2" spans="2:6" ht="28.5" customHeight="1" x14ac:dyDescent="0.85">
      <c r="B2" s="1" t="s">
        <v>0</v>
      </c>
      <c r="C2" s="1"/>
      <c r="D2" s="1"/>
      <c r="E2" s="1"/>
      <c r="F2" s="1"/>
    </row>
    <row r="3" spans="2:6" ht="23.25" customHeight="1" x14ac:dyDescent="0.45">
      <c r="B3" s="2" t="s">
        <v>1</v>
      </c>
      <c r="C3" s="2"/>
      <c r="D3" s="2"/>
      <c r="E3" s="2"/>
      <c r="F3" s="2"/>
    </row>
    <row r="5" spans="2:6" ht="14.25" customHeight="1" x14ac:dyDescent="0.45">
      <c r="B5" s="3" t="s">
        <v>2</v>
      </c>
      <c r="C5" s="3" t="s">
        <v>3</v>
      </c>
      <c r="D5" s="4" t="s">
        <v>4</v>
      </c>
      <c r="E5" s="3" t="s">
        <v>5</v>
      </c>
      <c r="F5" s="3" t="s">
        <v>6</v>
      </c>
    </row>
    <row r="6" spans="2:6" ht="14.25" customHeight="1" x14ac:dyDescent="0.45">
      <c r="B6" s="5">
        <v>1</v>
      </c>
      <c r="C6" s="6" t="s">
        <v>7</v>
      </c>
      <c r="D6" s="7">
        <v>3600000</v>
      </c>
      <c r="E6" s="5" t="s">
        <v>8</v>
      </c>
      <c r="F6" s="5" t="s">
        <v>9</v>
      </c>
    </row>
    <row r="7" spans="2:6" ht="14.25" customHeight="1" x14ac:dyDescent="0.45">
      <c r="B7" s="5">
        <v>2</v>
      </c>
      <c r="C7" s="6" t="s">
        <v>10</v>
      </c>
      <c r="D7" s="7">
        <v>1200000</v>
      </c>
      <c r="E7" s="5" t="s">
        <v>8</v>
      </c>
      <c r="F7" s="5" t="s">
        <v>11</v>
      </c>
    </row>
    <row r="8" spans="2:6" ht="14.25" customHeight="1" x14ac:dyDescent="0.45">
      <c r="B8" s="5">
        <v>3</v>
      </c>
      <c r="C8" s="6" t="s">
        <v>12</v>
      </c>
      <c r="D8" s="7">
        <v>0</v>
      </c>
      <c r="E8" s="5" t="s">
        <v>8</v>
      </c>
      <c r="F8" s="5" t="s">
        <v>13</v>
      </c>
    </row>
    <row r="9" spans="2:6" ht="14.25" customHeight="1" x14ac:dyDescent="0.45">
      <c r="B9" s="5">
        <v>4</v>
      </c>
      <c r="C9" s="6" t="s">
        <v>14</v>
      </c>
      <c r="D9" s="7">
        <v>1500000</v>
      </c>
      <c r="E9" s="5" t="s">
        <v>8</v>
      </c>
      <c r="F9" s="5" t="s">
        <v>15</v>
      </c>
    </row>
    <row r="10" spans="2:6" ht="14.25" customHeight="1" x14ac:dyDescent="0.45">
      <c r="B10" s="5">
        <v>5</v>
      </c>
      <c r="C10" s="6" t="s">
        <v>16</v>
      </c>
      <c r="D10" s="7">
        <v>360000</v>
      </c>
      <c r="E10" s="5" t="s">
        <v>8</v>
      </c>
      <c r="F10" s="5" t="s">
        <v>17</v>
      </c>
    </row>
    <row r="11" spans="2:6" ht="14.25" customHeight="1" x14ac:dyDescent="0.45">
      <c r="B11" s="5">
        <v>6</v>
      </c>
      <c r="C11" s="6" t="s">
        <v>18</v>
      </c>
      <c r="D11" s="7">
        <v>500000</v>
      </c>
      <c r="E11" s="5" t="s">
        <v>8</v>
      </c>
      <c r="F11" s="5" t="s">
        <v>19</v>
      </c>
    </row>
    <row r="12" spans="2:6" ht="14.25" customHeight="1" x14ac:dyDescent="0.45">
      <c r="B12" s="5">
        <v>7</v>
      </c>
      <c r="C12" s="6" t="s">
        <v>20</v>
      </c>
      <c r="D12" s="8">
        <f>'[1]10. CapEx Summary'!D8*'[1]12. Costing Inputs'!$C$27</f>
        <v>438840</v>
      </c>
      <c r="E12" s="5" t="s">
        <v>21</v>
      </c>
      <c r="F12" s="5" t="s">
        <v>22</v>
      </c>
    </row>
    <row r="13" spans="2:6" ht="14.25" customHeight="1" x14ac:dyDescent="0.45">
      <c r="B13" s="5">
        <v>8</v>
      </c>
      <c r="C13" s="6" t="s">
        <v>23</v>
      </c>
      <c r="D13" s="7">
        <v>3600000</v>
      </c>
      <c r="E13" s="5" t="s">
        <v>8</v>
      </c>
      <c r="F13" s="5" t="s">
        <v>24</v>
      </c>
    </row>
    <row r="14" spans="2:6" ht="14.25" customHeight="1" x14ac:dyDescent="0.45">
      <c r="B14" s="5">
        <v>9</v>
      </c>
      <c r="C14" s="6" t="s">
        <v>25</v>
      </c>
      <c r="D14" s="8">
        <f>'[1]10. CapEx Summary'!D14*'[1]12. Costing Inputs'!$C$28</f>
        <v>309420</v>
      </c>
      <c r="E14" s="5" t="s">
        <v>26</v>
      </c>
      <c r="F14" s="5" t="s">
        <v>27</v>
      </c>
    </row>
    <row r="15" spans="2:6" ht="14.25" customHeight="1" x14ac:dyDescent="0.45">
      <c r="B15" s="5">
        <v>10</v>
      </c>
      <c r="C15" s="6" t="s">
        <v>28</v>
      </c>
      <c r="D15" s="7">
        <v>600000</v>
      </c>
      <c r="E15" s="5" t="s">
        <v>8</v>
      </c>
      <c r="F15" s="5" t="s">
        <v>29</v>
      </c>
    </row>
    <row r="16" spans="2:6" ht="14.25" customHeight="1" x14ac:dyDescent="0.45">
      <c r="B16" s="5">
        <v>11</v>
      </c>
      <c r="C16" s="6" t="s">
        <v>30</v>
      </c>
      <c r="D16" s="7">
        <v>900000</v>
      </c>
      <c r="E16" s="5" t="s">
        <v>8</v>
      </c>
      <c r="F16" s="5" t="s">
        <v>31</v>
      </c>
    </row>
    <row r="17" spans="2:6" ht="14.25" customHeight="1" x14ac:dyDescent="0.45">
      <c r="B17" s="5">
        <v>12</v>
      </c>
      <c r="C17" s="6" t="s">
        <v>32</v>
      </c>
      <c r="D17" s="7">
        <v>0</v>
      </c>
      <c r="E17" s="5" t="s">
        <v>8</v>
      </c>
      <c r="F17" s="5" t="s">
        <v>33</v>
      </c>
    </row>
    <row r="18" spans="2:6" ht="14.25" customHeight="1" x14ac:dyDescent="0.45">
      <c r="B18" s="5">
        <v>13</v>
      </c>
      <c r="C18" s="6" t="s">
        <v>34</v>
      </c>
      <c r="D18" s="7">
        <v>300000</v>
      </c>
      <c r="E18" s="5" t="s">
        <v>8</v>
      </c>
      <c r="F18" s="5" t="s">
        <v>35</v>
      </c>
    </row>
    <row r="19" spans="2:6" ht="14.25" customHeight="1" x14ac:dyDescent="0.45">
      <c r="B19" s="5">
        <v>14</v>
      </c>
      <c r="C19" s="6" t="s">
        <v>36</v>
      </c>
      <c r="D19" s="7">
        <v>200000</v>
      </c>
      <c r="E19" s="5" t="s">
        <v>8</v>
      </c>
      <c r="F19" s="5" t="s">
        <v>37</v>
      </c>
    </row>
    <row r="20" spans="2:6" ht="14.25" customHeight="1" x14ac:dyDescent="0.45">
      <c r="B20" s="9" t="s">
        <v>38</v>
      </c>
      <c r="C20" s="9"/>
      <c r="D20" s="10">
        <f>SUM(D6:D19)</f>
        <v>13508260</v>
      </c>
      <c r="E20" s="11"/>
      <c r="F20" s="11"/>
    </row>
    <row r="21" spans="2:6" ht="14.25" customHeight="1" x14ac:dyDescent="0.45">
      <c r="B21" s="12" t="s">
        <v>39</v>
      </c>
      <c r="C21" s="12"/>
      <c r="D21" s="13">
        <f>D20/'[1]12. Costing Inputs'!$C$9</f>
        <v>34815.103092783502</v>
      </c>
      <c r="E21" s="14"/>
      <c r="F21" s="14"/>
    </row>
    <row r="22" spans="2:6" x14ac:dyDescent="0.45">
      <c r="B22" s="15" t="s">
        <v>40</v>
      </c>
      <c r="C22" s="15"/>
      <c r="D22" s="15"/>
      <c r="E22" s="15"/>
      <c r="F22" s="15"/>
    </row>
  </sheetData>
  <mergeCells count="5">
    <mergeCell ref="B2:F2"/>
    <mergeCell ref="B3:F3"/>
    <mergeCell ref="B20:C20"/>
    <mergeCell ref="B21:C21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 Operating Cost (OPEX)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 Shaukat</dc:creator>
  <cp:lastModifiedBy>Nauman Shaukat</cp:lastModifiedBy>
  <dcterms:created xsi:type="dcterms:W3CDTF">2026-06-23T10:25:49Z</dcterms:created>
  <dcterms:modified xsi:type="dcterms:W3CDTF">2026-06-23T10:27:29Z</dcterms:modified>
</cp:coreProperties>
</file>